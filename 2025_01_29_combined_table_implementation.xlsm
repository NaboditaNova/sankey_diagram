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7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9.xml" ContentType="application/vnd.openxmlformats-officedocument.drawing+xml"/>
  <Override PartName="/xl/comments15.xml" ContentType="application/vnd.openxmlformats-officedocument.spreadsheetml.comments+xml"/>
  <Override PartName="/xl/drawings/drawing10.xml" ContentType="application/vnd.openxmlformats-officedocument.drawing+xml"/>
  <Override PartName="/xl/comments16.xml" ContentType="application/vnd.openxmlformats-officedocument.spreadsheetml.comments+xml"/>
  <Override PartName="/xl/drawings/drawing11.xml" ContentType="application/vnd.openxmlformats-officedocument.drawing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omments18.xml" ContentType="application/vnd.openxmlformats-officedocument.spreadsheetml.comments+xml"/>
  <Override PartName="/xl/drawings/drawing13.xml" ContentType="application/vnd.openxmlformats-officedocument.drawing+xml"/>
  <Override PartName="/xl/comments19.xml" ContentType="application/vnd.openxmlformats-officedocument.spreadsheetml.comments+xml"/>
  <Override PartName="/xl/drawings/drawing14.xml" ContentType="application/vnd.openxmlformats-officedocument.drawing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y Documents\Internship\January2025\Excel_implementation\"/>
    </mc:Choice>
  </mc:AlternateContent>
  <xr:revisionPtr revIDLastSave="0" documentId="13_ncr:1_{6C09323A-BE2F-4619-B71C-818BE52E8322}" xr6:coauthVersionLast="47" xr6:coauthVersionMax="47" xr10:uidLastSave="{00000000-0000-0000-0000-000000000000}"/>
  <bookViews>
    <workbookView xWindow="-120" yWindow="-120" windowWidth="29040" windowHeight="15720" firstSheet="15" activeTab="19" xr2:uid="{00000000-000D-0000-FFFF-FFFF00000000}"/>
  </bookViews>
  <sheets>
    <sheet name="General data" sheetId="4" r:id="rId1"/>
    <sheet name="Process_collection" sheetId="15" r:id="rId2"/>
    <sheet name="MFA_Template_collection" sheetId="8" r:id="rId3"/>
    <sheet name="Process_sorting_flow_1" sheetId="11" r:id="rId4"/>
    <sheet name="MFA_Template_sorting_flow_1" sheetId="30" r:id="rId5"/>
    <sheet name="Process_sorting_flow_2_PP" sheetId="14" r:id="rId6"/>
    <sheet name="MFA_Template_sorting_flow_2_PP" sheetId="13" r:id="rId7"/>
    <sheet name="Process_sorting_flow_2_PS" sheetId="16" r:id="rId8"/>
    <sheet name="MFA_Template_sorting_flow_2_PS" sheetId="26" r:id="rId9"/>
    <sheet name="Process_sorting_flow_2_PET" sheetId="17" r:id="rId10"/>
    <sheet name="MFA_Template_sorting_flow_2_PET" sheetId="27" r:id="rId11"/>
    <sheet name="Process_sorting_flow_2_HDPE" sheetId="18" r:id="rId12"/>
    <sheet name="MFA_Template_sorting_flow_2_HDP" sheetId="29" r:id="rId13"/>
    <sheet name="Process_sorting_flow_2_Film" sheetId="19" r:id="rId14"/>
    <sheet name="MFA_Template_sorting_flow_2_Fil" sheetId="28" r:id="rId15"/>
    <sheet name="Process_recycling_PP" sheetId="7" r:id="rId16"/>
    <sheet name="Process_recycling_PS" sheetId="20" r:id="rId17"/>
    <sheet name="Process_recycling_PET" sheetId="22" r:id="rId18"/>
    <sheet name="Process_recycling_HDPE" sheetId="23" r:id="rId19"/>
    <sheet name="Process_recycling_Film" sheetId="24" r:id="rId20"/>
    <sheet name="Process_recycling_MP" sheetId="25" r:id="rId21"/>
    <sheet name="Material_Table" sheetId="9" r:id="rId22"/>
  </sheets>
  <externalReferences>
    <externalReference r:id="rId2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30" l="1"/>
  <c r="E9" i="30"/>
  <c r="D9" i="30"/>
  <c r="C4" i="30"/>
  <c r="C3" i="30"/>
  <c r="C2" i="30"/>
  <c r="B13" i="29"/>
  <c r="E9" i="29"/>
  <c r="D9" i="29"/>
  <c r="C4" i="29"/>
  <c r="C3" i="29"/>
  <c r="C2" i="29"/>
  <c r="B13" i="28"/>
  <c r="E9" i="28"/>
  <c r="D9" i="28"/>
  <c r="C4" i="28"/>
  <c r="C3" i="28"/>
  <c r="C2" i="28"/>
  <c r="B13" i="27"/>
  <c r="E9" i="27"/>
  <c r="D9" i="27"/>
  <c r="C4" i="27"/>
  <c r="C3" i="27"/>
  <c r="C2" i="27"/>
  <c r="B13" i="26"/>
  <c r="E9" i="26"/>
  <c r="D9" i="26"/>
  <c r="C4" i="26"/>
  <c r="C3" i="26"/>
  <c r="C2" i="26"/>
  <c r="T91" i="25"/>
  <c r="Q91" i="25"/>
  <c r="O91" i="25"/>
  <c r="T90" i="25"/>
  <c r="Q90" i="25"/>
  <c r="O90" i="25"/>
  <c r="T89" i="25"/>
  <c r="Q89" i="25"/>
  <c r="O89" i="25"/>
  <c r="T88" i="25"/>
  <c r="Q88" i="25"/>
  <c r="O88" i="25"/>
  <c r="T87" i="25"/>
  <c r="Q87" i="25"/>
  <c r="O87" i="25"/>
  <c r="T86" i="25"/>
  <c r="Q86" i="25"/>
  <c r="O86" i="25"/>
  <c r="T85" i="25"/>
  <c r="Q85" i="25"/>
  <c r="O85" i="25"/>
  <c r="T84" i="25"/>
  <c r="Q84" i="25"/>
  <c r="O84" i="25"/>
  <c r="T83" i="25"/>
  <c r="Q83" i="25"/>
  <c r="O83" i="25"/>
  <c r="T82" i="25"/>
  <c r="Q82" i="25"/>
  <c r="O82" i="25"/>
  <c r="T81" i="25"/>
  <c r="Q81" i="25"/>
  <c r="O81" i="25"/>
  <c r="T80" i="25"/>
  <c r="Q80" i="25"/>
  <c r="O80" i="25"/>
  <c r="T79" i="25"/>
  <c r="Q79" i="25"/>
  <c r="O79" i="25"/>
  <c r="T76" i="25"/>
  <c r="S76" i="25"/>
  <c r="Q76" i="25"/>
  <c r="P76" i="25"/>
  <c r="T29" i="25"/>
  <c r="Q29" i="25"/>
  <c r="O29" i="25"/>
  <c r="T28" i="25"/>
  <c r="Q28" i="25"/>
  <c r="O28" i="25"/>
  <c r="T27" i="25"/>
  <c r="Q27" i="25"/>
  <c r="O27" i="25"/>
  <c r="T26" i="25"/>
  <c r="Q26" i="25"/>
  <c r="O26" i="25"/>
  <c r="T25" i="25"/>
  <c r="Q25" i="25"/>
  <c r="O25" i="25"/>
  <c r="T24" i="25"/>
  <c r="Q24" i="25"/>
  <c r="O24" i="25"/>
  <c r="T23" i="25"/>
  <c r="Q23" i="25"/>
  <c r="O23" i="25"/>
  <c r="T22" i="25"/>
  <c r="Q22" i="25"/>
  <c r="O22" i="25"/>
  <c r="T21" i="25"/>
  <c r="Q21" i="25"/>
  <c r="O21" i="25"/>
  <c r="T20" i="25"/>
  <c r="Q20" i="25"/>
  <c r="O20" i="25"/>
  <c r="T19" i="25"/>
  <c r="Q19" i="25"/>
  <c r="O19" i="25"/>
  <c r="T18" i="25"/>
  <c r="Q18" i="25"/>
  <c r="O18" i="25"/>
  <c r="T17" i="25"/>
  <c r="O17" i="25"/>
  <c r="T16" i="25"/>
  <c r="Q16" i="25"/>
  <c r="O16" i="25"/>
  <c r="T15" i="25"/>
  <c r="Q15" i="25"/>
  <c r="O15" i="25"/>
  <c r="T12" i="25"/>
  <c r="S12" i="25"/>
  <c r="Q12" i="25"/>
  <c r="P12" i="25"/>
  <c r="T91" i="24"/>
  <c r="Q91" i="24"/>
  <c r="O91" i="24"/>
  <c r="T90" i="24"/>
  <c r="Q90" i="24"/>
  <c r="O90" i="24"/>
  <c r="T89" i="24"/>
  <c r="Q89" i="24"/>
  <c r="O89" i="24"/>
  <c r="T88" i="24"/>
  <c r="Q88" i="24"/>
  <c r="O88" i="24"/>
  <c r="T87" i="24"/>
  <c r="Q87" i="24"/>
  <c r="O87" i="24"/>
  <c r="T86" i="24"/>
  <c r="Q86" i="24"/>
  <c r="O86" i="24"/>
  <c r="T85" i="24"/>
  <c r="Q85" i="24"/>
  <c r="O85" i="24"/>
  <c r="T84" i="24"/>
  <c r="Q84" i="24"/>
  <c r="O84" i="24"/>
  <c r="T83" i="24"/>
  <c r="Q83" i="24"/>
  <c r="O83" i="24"/>
  <c r="T82" i="24"/>
  <c r="Q82" i="24"/>
  <c r="O82" i="24"/>
  <c r="T81" i="24"/>
  <c r="Q81" i="24"/>
  <c r="O81" i="24"/>
  <c r="T80" i="24"/>
  <c r="Q80" i="24"/>
  <c r="O80" i="24"/>
  <c r="T79" i="24"/>
  <c r="Q79" i="24"/>
  <c r="O79" i="24"/>
  <c r="T76" i="24"/>
  <c r="S76" i="24"/>
  <c r="Q76" i="24"/>
  <c r="P76" i="24"/>
  <c r="T29" i="24"/>
  <c r="Q29" i="24"/>
  <c r="O29" i="24"/>
  <c r="T28" i="24"/>
  <c r="Q28" i="24"/>
  <c r="O28" i="24"/>
  <c r="T27" i="24"/>
  <c r="Q27" i="24"/>
  <c r="O27" i="24"/>
  <c r="T26" i="24"/>
  <c r="Q26" i="24"/>
  <c r="O26" i="24"/>
  <c r="T25" i="24"/>
  <c r="Q25" i="24"/>
  <c r="O25" i="24"/>
  <c r="T24" i="24"/>
  <c r="Q24" i="24"/>
  <c r="O24" i="24"/>
  <c r="T23" i="24"/>
  <c r="Q23" i="24"/>
  <c r="O23" i="24"/>
  <c r="T22" i="24"/>
  <c r="Q22" i="24"/>
  <c r="O22" i="24"/>
  <c r="T21" i="24"/>
  <c r="Q21" i="24"/>
  <c r="O21" i="24"/>
  <c r="T20" i="24"/>
  <c r="Q20" i="24"/>
  <c r="O20" i="24"/>
  <c r="T19" i="24"/>
  <c r="Q19" i="24"/>
  <c r="O19" i="24"/>
  <c r="T18" i="24"/>
  <c r="Q18" i="24"/>
  <c r="O18" i="24"/>
  <c r="T17" i="24"/>
  <c r="O17" i="24"/>
  <c r="T16" i="24"/>
  <c r="Q16" i="24"/>
  <c r="O16" i="24"/>
  <c r="T15" i="24"/>
  <c r="Q15" i="24"/>
  <c r="O15" i="24"/>
  <c r="T12" i="24"/>
  <c r="S12" i="24"/>
  <c r="Q12" i="24"/>
  <c r="P12" i="24"/>
  <c r="T91" i="23"/>
  <c r="Q91" i="23"/>
  <c r="O91" i="23"/>
  <c r="T90" i="23"/>
  <c r="Q90" i="23"/>
  <c r="O90" i="23"/>
  <c r="T89" i="23"/>
  <c r="Q89" i="23"/>
  <c r="O89" i="23"/>
  <c r="T88" i="23"/>
  <c r="Q88" i="23"/>
  <c r="O88" i="23"/>
  <c r="T87" i="23"/>
  <c r="Q87" i="23"/>
  <c r="O87" i="23"/>
  <c r="T86" i="23"/>
  <c r="Q86" i="23"/>
  <c r="O86" i="23"/>
  <c r="T85" i="23"/>
  <c r="Q85" i="23"/>
  <c r="O85" i="23"/>
  <c r="T84" i="23"/>
  <c r="Q84" i="23"/>
  <c r="O84" i="23"/>
  <c r="T83" i="23"/>
  <c r="Q83" i="23"/>
  <c r="O83" i="23"/>
  <c r="T82" i="23"/>
  <c r="Q82" i="23"/>
  <c r="O82" i="23"/>
  <c r="T81" i="23"/>
  <c r="Q81" i="23"/>
  <c r="O81" i="23"/>
  <c r="T80" i="23"/>
  <c r="Q80" i="23"/>
  <c r="O80" i="23"/>
  <c r="T79" i="23"/>
  <c r="Q79" i="23"/>
  <c r="O79" i="23"/>
  <c r="T76" i="23"/>
  <c r="S76" i="23"/>
  <c r="Q76" i="23"/>
  <c r="P76" i="23"/>
  <c r="T29" i="23"/>
  <c r="Q29" i="23"/>
  <c r="O29" i="23"/>
  <c r="T28" i="23"/>
  <c r="Q28" i="23"/>
  <c r="O28" i="23"/>
  <c r="T27" i="23"/>
  <c r="Q27" i="23"/>
  <c r="O27" i="23"/>
  <c r="T26" i="23"/>
  <c r="Q26" i="23"/>
  <c r="O26" i="23"/>
  <c r="T25" i="23"/>
  <c r="Q25" i="23"/>
  <c r="O25" i="23"/>
  <c r="T24" i="23"/>
  <c r="Q24" i="23"/>
  <c r="O24" i="23"/>
  <c r="T23" i="23"/>
  <c r="Q23" i="23"/>
  <c r="O23" i="23"/>
  <c r="T22" i="23"/>
  <c r="Q22" i="23"/>
  <c r="O22" i="23"/>
  <c r="T21" i="23"/>
  <c r="Q21" i="23"/>
  <c r="O21" i="23"/>
  <c r="T20" i="23"/>
  <c r="Q20" i="23"/>
  <c r="O20" i="23"/>
  <c r="T19" i="23"/>
  <c r="Q19" i="23"/>
  <c r="O19" i="23"/>
  <c r="T18" i="23"/>
  <c r="Q18" i="23"/>
  <c r="O18" i="23"/>
  <c r="T17" i="23"/>
  <c r="O17" i="23"/>
  <c r="T16" i="23"/>
  <c r="Q16" i="23"/>
  <c r="O16" i="23"/>
  <c r="T15" i="23"/>
  <c r="Q15" i="23"/>
  <c r="O15" i="23"/>
  <c r="T12" i="23"/>
  <c r="S12" i="23"/>
  <c r="Q12" i="23"/>
  <c r="P12" i="23"/>
  <c r="T91" i="22"/>
  <c r="Q91" i="22"/>
  <c r="O91" i="22"/>
  <c r="T90" i="22"/>
  <c r="Q90" i="22"/>
  <c r="O90" i="22"/>
  <c r="T89" i="22"/>
  <c r="Q89" i="22"/>
  <c r="O89" i="22"/>
  <c r="T88" i="22"/>
  <c r="Q88" i="22"/>
  <c r="O88" i="22"/>
  <c r="T87" i="22"/>
  <c r="Q87" i="22"/>
  <c r="O87" i="22"/>
  <c r="T86" i="22"/>
  <c r="Q86" i="22"/>
  <c r="O86" i="22"/>
  <c r="T85" i="22"/>
  <c r="Q85" i="22"/>
  <c r="O85" i="22"/>
  <c r="T84" i="22"/>
  <c r="Q84" i="22"/>
  <c r="O84" i="22"/>
  <c r="T83" i="22"/>
  <c r="Q83" i="22"/>
  <c r="O83" i="22"/>
  <c r="T82" i="22"/>
  <c r="Q82" i="22"/>
  <c r="O82" i="22"/>
  <c r="T81" i="22"/>
  <c r="Q81" i="22"/>
  <c r="O81" i="22"/>
  <c r="T80" i="22"/>
  <c r="Q80" i="22"/>
  <c r="O80" i="22"/>
  <c r="T79" i="22"/>
  <c r="Q79" i="22"/>
  <c r="O79" i="22"/>
  <c r="T76" i="22"/>
  <c r="S76" i="22"/>
  <c r="Q76" i="22"/>
  <c r="P76" i="22"/>
  <c r="T29" i="22"/>
  <c r="Q29" i="22"/>
  <c r="O29" i="22"/>
  <c r="T28" i="22"/>
  <c r="Q28" i="22"/>
  <c r="O28" i="22"/>
  <c r="T27" i="22"/>
  <c r="Q27" i="22"/>
  <c r="O27" i="22"/>
  <c r="T26" i="22"/>
  <c r="Q26" i="22"/>
  <c r="O26" i="22"/>
  <c r="T25" i="22"/>
  <c r="Q25" i="22"/>
  <c r="O25" i="22"/>
  <c r="T24" i="22"/>
  <c r="Q24" i="22"/>
  <c r="O24" i="22"/>
  <c r="T23" i="22"/>
  <c r="Q23" i="22"/>
  <c r="O23" i="22"/>
  <c r="T22" i="22"/>
  <c r="Q22" i="22"/>
  <c r="O22" i="22"/>
  <c r="T21" i="22"/>
  <c r="Q21" i="22"/>
  <c r="O21" i="22"/>
  <c r="T20" i="22"/>
  <c r="Q20" i="22"/>
  <c r="O20" i="22"/>
  <c r="T19" i="22"/>
  <c r="Q19" i="22"/>
  <c r="O19" i="22"/>
  <c r="T18" i="22"/>
  <c r="Q18" i="22"/>
  <c r="O18" i="22"/>
  <c r="T17" i="22"/>
  <c r="O17" i="22"/>
  <c r="T16" i="22"/>
  <c r="Q16" i="22"/>
  <c r="O16" i="22"/>
  <c r="T15" i="22"/>
  <c r="Q15" i="22"/>
  <c r="O15" i="22"/>
  <c r="T12" i="22"/>
  <c r="S12" i="22"/>
  <c r="Q12" i="22"/>
  <c r="P12" i="22"/>
  <c r="T91" i="20"/>
  <c r="Q91" i="20"/>
  <c r="O91" i="20"/>
  <c r="T90" i="20"/>
  <c r="Q90" i="20"/>
  <c r="O90" i="20"/>
  <c r="T89" i="20"/>
  <c r="Q89" i="20"/>
  <c r="O89" i="20"/>
  <c r="T88" i="20"/>
  <c r="Q88" i="20"/>
  <c r="O88" i="20"/>
  <c r="T87" i="20"/>
  <c r="Q87" i="20"/>
  <c r="O87" i="20"/>
  <c r="T86" i="20"/>
  <c r="Q86" i="20"/>
  <c r="O86" i="20"/>
  <c r="T85" i="20"/>
  <c r="Q85" i="20"/>
  <c r="O85" i="20"/>
  <c r="T84" i="20"/>
  <c r="Q84" i="20"/>
  <c r="O84" i="20"/>
  <c r="T83" i="20"/>
  <c r="Q83" i="20"/>
  <c r="O83" i="20"/>
  <c r="T82" i="20"/>
  <c r="Q82" i="20"/>
  <c r="O82" i="20"/>
  <c r="T81" i="20"/>
  <c r="Q81" i="20"/>
  <c r="O81" i="20"/>
  <c r="T80" i="20"/>
  <c r="Q80" i="20"/>
  <c r="O80" i="20"/>
  <c r="T79" i="20"/>
  <c r="Q79" i="20"/>
  <c r="O79" i="20"/>
  <c r="T76" i="20"/>
  <c r="S76" i="20"/>
  <c r="Q76" i="20"/>
  <c r="P76" i="20"/>
  <c r="T29" i="20"/>
  <c r="Q29" i="20"/>
  <c r="O29" i="20"/>
  <c r="T28" i="20"/>
  <c r="Q28" i="20"/>
  <c r="O28" i="20"/>
  <c r="T27" i="20"/>
  <c r="Q27" i="20"/>
  <c r="O27" i="20"/>
  <c r="T26" i="20"/>
  <c r="Q26" i="20"/>
  <c r="O26" i="20"/>
  <c r="T25" i="20"/>
  <c r="Q25" i="20"/>
  <c r="O25" i="20"/>
  <c r="T24" i="20"/>
  <c r="Q24" i="20"/>
  <c r="O24" i="20"/>
  <c r="T23" i="20"/>
  <c r="Q23" i="20"/>
  <c r="O23" i="20"/>
  <c r="T22" i="20"/>
  <c r="Q22" i="20"/>
  <c r="O22" i="20"/>
  <c r="T21" i="20"/>
  <c r="Q21" i="20"/>
  <c r="O21" i="20"/>
  <c r="T20" i="20"/>
  <c r="Q20" i="20"/>
  <c r="O20" i="20"/>
  <c r="T19" i="20"/>
  <c r="Q19" i="20"/>
  <c r="O19" i="20"/>
  <c r="T18" i="20"/>
  <c r="Q18" i="20"/>
  <c r="O18" i="20"/>
  <c r="T17" i="20"/>
  <c r="O17" i="20"/>
  <c r="T16" i="20"/>
  <c r="Q16" i="20"/>
  <c r="O16" i="20"/>
  <c r="T15" i="20"/>
  <c r="Q15" i="20"/>
  <c r="O15" i="20"/>
  <c r="T12" i="20"/>
  <c r="S12" i="20"/>
  <c r="Q12" i="20"/>
  <c r="P12" i="20"/>
  <c r="T91" i="19"/>
  <c r="Q91" i="19"/>
  <c r="O91" i="19"/>
  <c r="T90" i="19"/>
  <c r="Q90" i="19"/>
  <c r="O90" i="19"/>
  <c r="T89" i="19"/>
  <c r="Q89" i="19"/>
  <c r="O89" i="19"/>
  <c r="T88" i="19"/>
  <c r="Q88" i="19"/>
  <c r="O88" i="19"/>
  <c r="T87" i="19"/>
  <c r="Q87" i="19"/>
  <c r="O87" i="19"/>
  <c r="T86" i="19"/>
  <c r="Q86" i="19"/>
  <c r="O86" i="19"/>
  <c r="T85" i="19"/>
  <c r="Q85" i="19"/>
  <c r="O85" i="19"/>
  <c r="T84" i="19"/>
  <c r="Q84" i="19"/>
  <c r="O84" i="19"/>
  <c r="T83" i="19"/>
  <c r="Q83" i="19"/>
  <c r="O83" i="19"/>
  <c r="T82" i="19"/>
  <c r="Q82" i="19"/>
  <c r="O82" i="19"/>
  <c r="T81" i="19"/>
  <c r="Q81" i="19"/>
  <c r="O81" i="19"/>
  <c r="T80" i="19"/>
  <c r="Q80" i="19"/>
  <c r="O80" i="19"/>
  <c r="T79" i="19"/>
  <c r="Q79" i="19"/>
  <c r="O79" i="19"/>
  <c r="T76" i="19"/>
  <c r="S76" i="19"/>
  <c r="Q76" i="19"/>
  <c r="P76" i="19"/>
  <c r="T29" i="19"/>
  <c r="Q29" i="19"/>
  <c r="O29" i="19"/>
  <c r="T28" i="19"/>
  <c r="Q28" i="19"/>
  <c r="O28" i="19"/>
  <c r="T27" i="19"/>
  <c r="Q27" i="19"/>
  <c r="O27" i="19"/>
  <c r="T26" i="19"/>
  <c r="Q26" i="19"/>
  <c r="O26" i="19"/>
  <c r="T25" i="19"/>
  <c r="Q25" i="19"/>
  <c r="O25" i="19"/>
  <c r="T24" i="19"/>
  <c r="Q24" i="19"/>
  <c r="O24" i="19"/>
  <c r="T23" i="19"/>
  <c r="Q23" i="19"/>
  <c r="O23" i="19"/>
  <c r="T22" i="19"/>
  <c r="Q22" i="19"/>
  <c r="O22" i="19"/>
  <c r="T21" i="19"/>
  <c r="Q21" i="19"/>
  <c r="O21" i="19"/>
  <c r="T20" i="19"/>
  <c r="Q20" i="19"/>
  <c r="O20" i="19"/>
  <c r="T19" i="19"/>
  <c r="Q19" i="19"/>
  <c r="O19" i="19"/>
  <c r="T18" i="19"/>
  <c r="Q18" i="19"/>
  <c r="O18" i="19"/>
  <c r="T17" i="19"/>
  <c r="O17" i="19"/>
  <c r="T16" i="19"/>
  <c r="Q16" i="19"/>
  <c r="O16" i="19"/>
  <c r="T15" i="19"/>
  <c r="Q15" i="19"/>
  <c r="O15" i="19"/>
  <c r="T12" i="19"/>
  <c r="S12" i="19"/>
  <c r="Q12" i="19"/>
  <c r="P12" i="19"/>
  <c r="T91" i="18"/>
  <c r="Q91" i="18"/>
  <c r="O91" i="18"/>
  <c r="T90" i="18"/>
  <c r="Q90" i="18"/>
  <c r="O90" i="18"/>
  <c r="T89" i="18"/>
  <c r="Q89" i="18"/>
  <c r="O89" i="18"/>
  <c r="T88" i="18"/>
  <c r="Q88" i="18"/>
  <c r="O88" i="18"/>
  <c r="T87" i="18"/>
  <c r="Q87" i="18"/>
  <c r="O87" i="18"/>
  <c r="T86" i="18"/>
  <c r="Q86" i="18"/>
  <c r="O86" i="18"/>
  <c r="T85" i="18"/>
  <c r="Q85" i="18"/>
  <c r="O85" i="18"/>
  <c r="T84" i="18"/>
  <c r="Q84" i="18"/>
  <c r="O84" i="18"/>
  <c r="T83" i="18"/>
  <c r="Q83" i="18"/>
  <c r="O83" i="18"/>
  <c r="T82" i="18"/>
  <c r="Q82" i="18"/>
  <c r="O82" i="18"/>
  <c r="T81" i="18"/>
  <c r="Q81" i="18"/>
  <c r="O81" i="18"/>
  <c r="T80" i="18"/>
  <c r="Q80" i="18"/>
  <c r="O80" i="18"/>
  <c r="T79" i="18"/>
  <c r="Q79" i="18"/>
  <c r="O79" i="18"/>
  <c r="T76" i="18"/>
  <c r="S76" i="18"/>
  <c r="Q76" i="18"/>
  <c r="P76" i="18"/>
  <c r="T29" i="18"/>
  <c r="Q29" i="18"/>
  <c r="O29" i="18"/>
  <c r="T28" i="18"/>
  <c r="Q28" i="18"/>
  <c r="O28" i="18"/>
  <c r="T27" i="18"/>
  <c r="Q27" i="18"/>
  <c r="O27" i="18"/>
  <c r="T26" i="18"/>
  <c r="Q26" i="18"/>
  <c r="O26" i="18"/>
  <c r="T25" i="18"/>
  <c r="Q25" i="18"/>
  <c r="O25" i="18"/>
  <c r="T24" i="18"/>
  <c r="Q24" i="18"/>
  <c r="O24" i="18"/>
  <c r="T23" i="18"/>
  <c r="Q23" i="18"/>
  <c r="O23" i="18"/>
  <c r="T22" i="18"/>
  <c r="Q22" i="18"/>
  <c r="O22" i="18"/>
  <c r="T21" i="18"/>
  <c r="Q21" i="18"/>
  <c r="O21" i="18"/>
  <c r="T20" i="18"/>
  <c r="Q20" i="18"/>
  <c r="O20" i="18"/>
  <c r="T19" i="18"/>
  <c r="Q19" i="18"/>
  <c r="O19" i="18"/>
  <c r="T18" i="18"/>
  <c r="Q18" i="18"/>
  <c r="O18" i="18"/>
  <c r="T17" i="18"/>
  <c r="O17" i="18"/>
  <c r="T16" i="18"/>
  <c r="Q16" i="18"/>
  <c r="O16" i="18"/>
  <c r="T15" i="18"/>
  <c r="Q15" i="18"/>
  <c r="O15" i="18"/>
  <c r="T12" i="18"/>
  <c r="S12" i="18"/>
  <c r="Q12" i="18"/>
  <c r="P12" i="18"/>
  <c r="T91" i="17"/>
  <c r="Q91" i="17"/>
  <c r="O91" i="17"/>
  <c r="T90" i="17"/>
  <c r="Q90" i="17"/>
  <c r="O90" i="17"/>
  <c r="T89" i="17"/>
  <c r="Q89" i="17"/>
  <c r="O89" i="17"/>
  <c r="T88" i="17"/>
  <c r="Q88" i="17"/>
  <c r="O88" i="17"/>
  <c r="T87" i="17"/>
  <c r="Q87" i="17"/>
  <c r="O87" i="17"/>
  <c r="T86" i="17"/>
  <c r="Q86" i="17"/>
  <c r="O86" i="17"/>
  <c r="T85" i="17"/>
  <c r="Q85" i="17"/>
  <c r="O85" i="17"/>
  <c r="T84" i="17"/>
  <c r="Q84" i="17"/>
  <c r="O84" i="17"/>
  <c r="T83" i="17"/>
  <c r="Q83" i="17"/>
  <c r="O83" i="17"/>
  <c r="T82" i="17"/>
  <c r="Q82" i="17"/>
  <c r="O82" i="17"/>
  <c r="T81" i="17"/>
  <c r="Q81" i="17"/>
  <c r="O81" i="17"/>
  <c r="T80" i="17"/>
  <c r="Q80" i="17"/>
  <c r="O80" i="17"/>
  <c r="T79" i="17"/>
  <c r="Q79" i="17"/>
  <c r="O79" i="17"/>
  <c r="T76" i="17"/>
  <c r="S76" i="17"/>
  <c r="Q76" i="17"/>
  <c r="P76" i="17"/>
  <c r="T29" i="17"/>
  <c r="Q29" i="17"/>
  <c r="O29" i="17"/>
  <c r="T28" i="17"/>
  <c r="Q28" i="17"/>
  <c r="O28" i="17"/>
  <c r="T27" i="17"/>
  <c r="Q27" i="17"/>
  <c r="O27" i="17"/>
  <c r="T26" i="17"/>
  <c r="Q26" i="17"/>
  <c r="O26" i="17"/>
  <c r="T25" i="17"/>
  <c r="Q25" i="17"/>
  <c r="O25" i="17"/>
  <c r="T24" i="17"/>
  <c r="Q24" i="17"/>
  <c r="O24" i="17"/>
  <c r="T23" i="17"/>
  <c r="Q23" i="17"/>
  <c r="O23" i="17"/>
  <c r="T22" i="17"/>
  <c r="Q22" i="17"/>
  <c r="O22" i="17"/>
  <c r="T21" i="17"/>
  <c r="Q21" i="17"/>
  <c r="O21" i="17"/>
  <c r="T20" i="17"/>
  <c r="Q20" i="17"/>
  <c r="O20" i="17"/>
  <c r="T19" i="17"/>
  <c r="Q19" i="17"/>
  <c r="O19" i="17"/>
  <c r="T18" i="17"/>
  <c r="Q18" i="17"/>
  <c r="O18" i="17"/>
  <c r="T17" i="17"/>
  <c r="O17" i="17"/>
  <c r="T16" i="17"/>
  <c r="Q16" i="17"/>
  <c r="O16" i="17"/>
  <c r="T15" i="17"/>
  <c r="Q15" i="17"/>
  <c r="O15" i="17"/>
  <c r="T12" i="17"/>
  <c r="S12" i="17"/>
  <c r="Q12" i="17"/>
  <c r="P12" i="17"/>
  <c r="T91" i="16"/>
  <c r="Q91" i="16"/>
  <c r="O91" i="16"/>
  <c r="T90" i="16"/>
  <c r="Q90" i="16"/>
  <c r="O90" i="16"/>
  <c r="T89" i="16"/>
  <c r="Q89" i="16"/>
  <c r="O89" i="16"/>
  <c r="T88" i="16"/>
  <c r="Q88" i="16"/>
  <c r="O88" i="16"/>
  <c r="T87" i="16"/>
  <c r="Q87" i="16"/>
  <c r="O87" i="16"/>
  <c r="T86" i="16"/>
  <c r="Q86" i="16"/>
  <c r="O86" i="16"/>
  <c r="T85" i="16"/>
  <c r="Q85" i="16"/>
  <c r="O85" i="16"/>
  <c r="T84" i="16"/>
  <c r="Q84" i="16"/>
  <c r="O84" i="16"/>
  <c r="T83" i="16"/>
  <c r="Q83" i="16"/>
  <c r="O83" i="16"/>
  <c r="T82" i="16"/>
  <c r="Q82" i="16"/>
  <c r="O82" i="16"/>
  <c r="T81" i="16"/>
  <c r="Q81" i="16"/>
  <c r="O81" i="16"/>
  <c r="T80" i="16"/>
  <c r="Q80" i="16"/>
  <c r="O80" i="16"/>
  <c r="T79" i="16"/>
  <c r="Q79" i="16"/>
  <c r="O79" i="16"/>
  <c r="T76" i="16"/>
  <c r="S76" i="16"/>
  <c r="Q76" i="16"/>
  <c r="P76" i="16"/>
  <c r="T29" i="16"/>
  <c r="Q29" i="16"/>
  <c r="O29" i="16"/>
  <c r="T28" i="16"/>
  <c r="Q28" i="16"/>
  <c r="O28" i="16"/>
  <c r="T27" i="16"/>
  <c r="Q27" i="16"/>
  <c r="O27" i="16"/>
  <c r="T26" i="16"/>
  <c r="Q26" i="16"/>
  <c r="O26" i="16"/>
  <c r="T25" i="16"/>
  <c r="Q25" i="16"/>
  <c r="O25" i="16"/>
  <c r="T24" i="16"/>
  <c r="Q24" i="16"/>
  <c r="O24" i="16"/>
  <c r="T23" i="16"/>
  <c r="Q23" i="16"/>
  <c r="O23" i="16"/>
  <c r="T22" i="16"/>
  <c r="Q22" i="16"/>
  <c r="O22" i="16"/>
  <c r="T21" i="16"/>
  <c r="Q21" i="16"/>
  <c r="O21" i="16"/>
  <c r="T20" i="16"/>
  <c r="Q20" i="16"/>
  <c r="O20" i="16"/>
  <c r="T19" i="16"/>
  <c r="Q19" i="16"/>
  <c r="O19" i="16"/>
  <c r="T18" i="16"/>
  <c r="Q18" i="16"/>
  <c r="O18" i="16"/>
  <c r="T17" i="16"/>
  <c r="O17" i="16"/>
  <c r="T16" i="16"/>
  <c r="Q16" i="16"/>
  <c r="O16" i="16"/>
  <c r="T15" i="16"/>
  <c r="Q15" i="16"/>
  <c r="O15" i="16"/>
  <c r="T12" i="16"/>
  <c r="S12" i="16"/>
  <c r="Q12" i="16"/>
  <c r="P12" i="16"/>
  <c r="T91" i="15"/>
  <c r="Q91" i="15"/>
  <c r="O91" i="15"/>
  <c r="T90" i="15"/>
  <c r="Q90" i="15"/>
  <c r="O90" i="15"/>
  <c r="T89" i="15"/>
  <c r="Q89" i="15"/>
  <c r="O89" i="15"/>
  <c r="T88" i="15"/>
  <c r="Q88" i="15"/>
  <c r="O88" i="15"/>
  <c r="T87" i="15"/>
  <c r="Q87" i="15"/>
  <c r="O87" i="15"/>
  <c r="T86" i="15"/>
  <c r="Q86" i="15"/>
  <c r="O86" i="15"/>
  <c r="T85" i="15"/>
  <c r="Q85" i="15"/>
  <c r="O85" i="15"/>
  <c r="T84" i="15"/>
  <c r="Q84" i="15"/>
  <c r="O84" i="15"/>
  <c r="T83" i="15"/>
  <c r="Q83" i="15"/>
  <c r="O83" i="15"/>
  <c r="T82" i="15"/>
  <c r="Q82" i="15"/>
  <c r="O82" i="15"/>
  <c r="T81" i="15"/>
  <c r="Q81" i="15"/>
  <c r="O81" i="15"/>
  <c r="T80" i="15"/>
  <c r="Q80" i="15"/>
  <c r="O80" i="15"/>
  <c r="T79" i="15"/>
  <c r="Q79" i="15"/>
  <c r="O79" i="15"/>
  <c r="T76" i="15"/>
  <c r="S76" i="15"/>
  <c r="Q76" i="15"/>
  <c r="P76" i="15"/>
  <c r="T29" i="15"/>
  <c r="Q29" i="15"/>
  <c r="O29" i="15"/>
  <c r="T28" i="15"/>
  <c r="Q28" i="15"/>
  <c r="O28" i="15"/>
  <c r="T27" i="15"/>
  <c r="Q27" i="15"/>
  <c r="O27" i="15"/>
  <c r="T26" i="15"/>
  <c r="Q26" i="15"/>
  <c r="O26" i="15"/>
  <c r="T25" i="15"/>
  <c r="Q25" i="15"/>
  <c r="O25" i="15"/>
  <c r="T24" i="15"/>
  <c r="Q24" i="15"/>
  <c r="O24" i="15"/>
  <c r="T23" i="15"/>
  <c r="Q23" i="15"/>
  <c r="O23" i="15"/>
  <c r="T22" i="15"/>
  <c r="Q22" i="15"/>
  <c r="O22" i="15"/>
  <c r="T21" i="15"/>
  <c r="Q21" i="15"/>
  <c r="O21" i="15"/>
  <c r="T20" i="15"/>
  <c r="Q20" i="15"/>
  <c r="O20" i="15"/>
  <c r="T19" i="15"/>
  <c r="Q19" i="15"/>
  <c r="O19" i="15"/>
  <c r="T18" i="15"/>
  <c r="Q18" i="15"/>
  <c r="O18" i="15"/>
  <c r="T17" i="15"/>
  <c r="O17" i="15"/>
  <c r="T16" i="15"/>
  <c r="Q16" i="15"/>
  <c r="O16" i="15"/>
  <c r="T15" i="15"/>
  <c r="Q15" i="15"/>
  <c r="O15" i="15"/>
  <c r="T12" i="15"/>
  <c r="S12" i="15"/>
  <c r="Q12" i="15"/>
  <c r="P12" i="15"/>
  <c r="T91" i="14"/>
  <c r="Q91" i="14"/>
  <c r="O91" i="14"/>
  <c r="T90" i="14"/>
  <c r="Q90" i="14"/>
  <c r="O90" i="14"/>
  <c r="T89" i="14"/>
  <c r="Q89" i="14"/>
  <c r="O89" i="14"/>
  <c r="T88" i="14"/>
  <c r="Q88" i="14"/>
  <c r="O88" i="14"/>
  <c r="T87" i="14"/>
  <c r="Q87" i="14"/>
  <c r="O87" i="14"/>
  <c r="T86" i="14"/>
  <c r="Q86" i="14"/>
  <c r="O86" i="14"/>
  <c r="T85" i="14"/>
  <c r="Q85" i="14"/>
  <c r="O85" i="14"/>
  <c r="T84" i="14"/>
  <c r="Q84" i="14"/>
  <c r="O84" i="14"/>
  <c r="T83" i="14"/>
  <c r="Q83" i="14"/>
  <c r="O83" i="14"/>
  <c r="T82" i="14"/>
  <c r="Q82" i="14"/>
  <c r="O82" i="14"/>
  <c r="T81" i="14"/>
  <c r="Q81" i="14"/>
  <c r="O81" i="14"/>
  <c r="T80" i="14"/>
  <c r="Q80" i="14"/>
  <c r="O80" i="14"/>
  <c r="T79" i="14"/>
  <c r="Q79" i="14"/>
  <c r="O79" i="14"/>
  <c r="T76" i="14"/>
  <c r="S76" i="14"/>
  <c r="Q76" i="14"/>
  <c r="P76" i="14"/>
  <c r="T29" i="14"/>
  <c r="Q29" i="14"/>
  <c r="O29" i="14"/>
  <c r="T28" i="14"/>
  <c r="Q28" i="14"/>
  <c r="O28" i="14"/>
  <c r="T27" i="14"/>
  <c r="Q27" i="14"/>
  <c r="O27" i="14"/>
  <c r="T26" i="14"/>
  <c r="Q26" i="14"/>
  <c r="O26" i="14"/>
  <c r="T25" i="14"/>
  <c r="Q25" i="14"/>
  <c r="O25" i="14"/>
  <c r="T24" i="14"/>
  <c r="Q24" i="14"/>
  <c r="O24" i="14"/>
  <c r="T23" i="14"/>
  <c r="Q23" i="14"/>
  <c r="O23" i="14"/>
  <c r="T22" i="14"/>
  <c r="Q22" i="14"/>
  <c r="O22" i="14"/>
  <c r="T21" i="14"/>
  <c r="Q21" i="14"/>
  <c r="O21" i="14"/>
  <c r="T20" i="14"/>
  <c r="Q20" i="14"/>
  <c r="O20" i="14"/>
  <c r="T19" i="14"/>
  <c r="Q19" i="14"/>
  <c r="O19" i="14"/>
  <c r="T18" i="14"/>
  <c r="Q18" i="14"/>
  <c r="O18" i="14"/>
  <c r="T17" i="14"/>
  <c r="O17" i="14"/>
  <c r="T16" i="14"/>
  <c r="Q16" i="14"/>
  <c r="O16" i="14"/>
  <c r="T15" i="14"/>
  <c r="Q15" i="14"/>
  <c r="O15" i="14"/>
  <c r="T12" i="14"/>
  <c r="S12" i="14"/>
  <c r="Q12" i="14"/>
  <c r="P12" i="14"/>
  <c r="B13" i="13"/>
  <c r="E9" i="13"/>
  <c r="D9" i="13"/>
  <c r="C4" i="13"/>
  <c r="C3" i="13"/>
  <c r="C2" i="13"/>
  <c r="T91" i="11"/>
  <c r="Q91" i="11"/>
  <c r="O91" i="11"/>
  <c r="T90" i="11"/>
  <c r="Q90" i="11"/>
  <c r="O90" i="11"/>
  <c r="T89" i="11"/>
  <c r="Q89" i="11"/>
  <c r="O89" i="11"/>
  <c r="T88" i="11"/>
  <c r="Q88" i="11"/>
  <c r="O88" i="11"/>
  <c r="T87" i="11"/>
  <c r="Q87" i="11"/>
  <c r="O87" i="11"/>
  <c r="T86" i="11"/>
  <c r="Q86" i="11"/>
  <c r="O86" i="11"/>
  <c r="T85" i="11"/>
  <c r="Q85" i="11"/>
  <c r="O85" i="11"/>
  <c r="T84" i="11"/>
  <c r="Q84" i="11"/>
  <c r="O84" i="11"/>
  <c r="T83" i="11"/>
  <c r="Q83" i="11"/>
  <c r="O83" i="11"/>
  <c r="T82" i="11"/>
  <c r="Q82" i="11"/>
  <c r="O82" i="11"/>
  <c r="T81" i="11"/>
  <c r="Q81" i="11"/>
  <c r="O81" i="11"/>
  <c r="T80" i="11"/>
  <c r="Q80" i="11"/>
  <c r="O80" i="11"/>
  <c r="T79" i="11"/>
  <c r="Q79" i="11"/>
  <c r="O79" i="11"/>
  <c r="T76" i="11"/>
  <c r="S76" i="11"/>
  <c r="Q76" i="11"/>
  <c r="P76" i="11"/>
  <c r="T29" i="11"/>
  <c r="Q29" i="11"/>
  <c r="O29" i="11"/>
  <c r="T28" i="11"/>
  <c r="Q28" i="11"/>
  <c r="O28" i="11"/>
  <c r="T27" i="11"/>
  <c r="Q27" i="11"/>
  <c r="O27" i="11"/>
  <c r="T26" i="11"/>
  <c r="Q26" i="11"/>
  <c r="O26" i="11"/>
  <c r="T25" i="11"/>
  <c r="Q25" i="11"/>
  <c r="O25" i="11"/>
  <c r="T24" i="11"/>
  <c r="Q24" i="11"/>
  <c r="O24" i="11"/>
  <c r="T23" i="11"/>
  <c r="Q23" i="11"/>
  <c r="O23" i="11"/>
  <c r="T22" i="11"/>
  <c r="Q22" i="11"/>
  <c r="O22" i="11"/>
  <c r="T21" i="11"/>
  <c r="Q21" i="11"/>
  <c r="O21" i="11"/>
  <c r="T20" i="11"/>
  <c r="Q20" i="11"/>
  <c r="O20" i="11"/>
  <c r="T19" i="11"/>
  <c r="Q19" i="11"/>
  <c r="O19" i="11"/>
  <c r="T18" i="11"/>
  <c r="Q18" i="11"/>
  <c r="O18" i="11"/>
  <c r="T17" i="11"/>
  <c r="O17" i="11"/>
  <c r="T16" i="11"/>
  <c r="Q16" i="11"/>
  <c r="O16" i="11"/>
  <c r="T15" i="11"/>
  <c r="Q15" i="11"/>
  <c r="O15" i="11"/>
  <c r="T12" i="11"/>
  <c r="S12" i="11"/>
  <c r="Q12" i="11"/>
  <c r="P12" i="11"/>
  <c r="E9" i="8"/>
  <c r="D9" i="8"/>
  <c r="C2" i="8"/>
  <c r="C3" i="8"/>
  <c r="C5" i="8"/>
  <c r="C4" i="8"/>
  <c r="O15" i="7"/>
  <c r="B13" i="8"/>
  <c r="T25" i="7"/>
  <c r="T26" i="7"/>
  <c r="T27" i="7"/>
  <c r="T28" i="7"/>
  <c r="T29" i="7"/>
  <c r="T17" i="7"/>
  <c r="T18" i="7"/>
  <c r="T19" i="7"/>
  <c r="T20" i="7"/>
  <c r="T21" i="7"/>
  <c r="T22" i="7"/>
  <c r="T23" i="7"/>
  <c r="T24" i="7"/>
  <c r="Q19" i="7"/>
  <c r="Q20" i="7"/>
  <c r="Q21" i="7"/>
  <c r="Q22" i="7"/>
  <c r="Q23" i="7"/>
  <c r="Q24" i="7"/>
  <c r="Q25" i="7"/>
  <c r="Q26" i="7"/>
  <c r="Q27" i="7"/>
  <c r="Q28" i="7"/>
  <c r="Q29" i="7"/>
  <c r="O28" i="7"/>
  <c r="O29" i="7"/>
  <c r="O27" i="7"/>
  <c r="O17" i="7"/>
  <c r="O18" i="7"/>
  <c r="Q18" i="7"/>
  <c r="O19" i="7"/>
  <c r="O20" i="7"/>
  <c r="O21" i="7"/>
  <c r="O22" i="7"/>
  <c r="O23" i="7"/>
  <c r="O24" i="7"/>
  <c r="O25" i="7"/>
  <c r="O26" i="7"/>
  <c r="O81" i="7"/>
  <c r="Q81" i="7"/>
  <c r="T81" i="7"/>
  <c r="O82" i="7"/>
  <c r="Q82" i="7"/>
  <c r="T82" i="7"/>
  <c r="O83" i="7"/>
  <c r="Q83" i="7"/>
  <c r="T83" i="7"/>
  <c r="O84" i="7"/>
  <c r="Q84" i="7"/>
  <c r="T84" i="7"/>
  <c r="O85" i="7"/>
  <c r="Q85" i="7"/>
  <c r="T85" i="7"/>
  <c r="O86" i="7"/>
  <c r="Q86" i="7"/>
  <c r="T86" i="7"/>
  <c r="O87" i="7"/>
  <c r="Q87" i="7"/>
  <c r="T87" i="7"/>
  <c r="O88" i="7"/>
  <c r="Q88" i="7"/>
  <c r="T88" i="7"/>
  <c r="O89" i="7"/>
  <c r="Q89" i="7"/>
  <c r="T89" i="7"/>
  <c r="O90" i="7"/>
  <c r="Q90" i="7"/>
  <c r="T90" i="7"/>
  <c r="O91" i="7"/>
  <c r="Q91" i="7"/>
  <c r="T91" i="7"/>
  <c r="T80" i="7"/>
  <c r="T79" i="7"/>
  <c r="T15" i="7"/>
  <c r="Q80" i="7"/>
  <c r="Q79" i="7"/>
  <c r="T16" i="7"/>
  <c r="Q15" i="7"/>
  <c r="Q16" i="7"/>
  <c r="O80" i="7"/>
  <c r="O79" i="7"/>
  <c r="O16" i="7"/>
  <c r="T76" i="7"/>
  <c r="S76" i="7"/>
  <c r="Q76" i="7"/>
  <c r="P76" i="7"/>
  <c r="T12" i="7"/>
  <c r="S12" i="7"/>
  <c r="Q12" i="7"/>
  <c r="P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0824376-F967-4329-9197-033571B9C4BA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A8320310-BDE9-446D-A892-244FCB034C26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01D0C48-ED95-4F7F-B9F9-DFB240A0CD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F2FACB60-7922-41BD-AEB0-F3CCA2F20F58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72CF8EC-10E1-40C6-828F-CED139673D2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04055FD-FA6C-4730-8A56-4EDC51448E4E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45042926-5133-41BF-952D-670F33B617D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986B3E8C-AF0E-4603-AFA3-B5083EB0733A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6181062-2D55-4DD4-A7EA-9F869C97A62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766356C-98B2-4184-836F-87C59675E7E1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592B165-CFFC-41DE-9B40-277135FADCF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18FCC80-C827-49B2-AF6D-7ED3EAFDBDD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CBE083CC-7D65-4095-8F19-03C0B7F91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C836BFB-4BE1-4A52-97F2-D6327550A7EF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0512B267-1C9E-4A9F-8B74-8C69357CCE21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AB95FA5-0D11-41F7-9ACB-281A45F7BA1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F9F85E8-2C2B-4C0D-8136-6D8FD21FD7C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B39112FB-06D3-4212-B03F-55A436A56C3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E5742783-7869-43DA-B0E6-9FD564FDC885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C1B6AA0-9EEC-4EAA-A8D0-4CCB68B5312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196ECA99-ED6E-4252-9C47-A47BA6D8D9E6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57039927-7CDD-416C-A57F-A04002D0B208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0FE3EBEE-5302-47C7-8E7E-B339ABE911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D6CD6A84-5E16-4983-83F2-9BECA8A7578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33E1933F-83FC-4D06-994F-D444CDFD741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DA48E4E-8567-4885-9D48-50D2C32743BA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023819B-10A8-47DE-B4D5-5437C50A669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031CAF0-D11E-4926-8FEC-3D3AD7F022FB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BEE79371-19F6-4368-ADE6-5990067ED34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6F9A4DBE-21BF-4993-81DA-1B8D401AF7EB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4D359F4D-6CAF-4785-AB30-5D789B45CD2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E3292C6-B613-4A68-A669-8543E16E544F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DF2E0E78-9E5A-4F6D-A03F-F0D50BA6E848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A4E1FE4-C22C-4632-961E-0ED05C766DCC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52DD0BB4-6A43-499D-AE9E-DBD39C957F89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6BCD5042-A805-44E2-96CD-B2A9325D7C55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CA24ED4-BB26-4E33-93F2-0A89A7E2CBA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40636FF3-0072-4A21-8B7F-494AF25FA0E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DB11103-E6ED-47E9-87C7-052896CCC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1A886890-7A21-4151-AAD4-C775324F7E8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C60B112-D579-4C87-AD4B-547FF8802E42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8231B655-3C23-47EE-B7F7-940CA538D591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3974F0F-C318-4F7E-9330-1F224A35272B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BF6DD6C-2C23-40C6-ADCC-0E30F333BAE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EB3AA8F-905C-49C5-A292-2B84E829E64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279B084-4166-4D8A-B310-982320D8CEDF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C57C6D3-7F25-4E1C-A860-4F47E3E9D43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AAD81D7-2851-4B22-8EBF-16B85BC2E71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53656614-9FAB-4E4A-9506-F5180211E77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E126973A-E890-4BDC-B0E2-5CAA1225BF1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817C585-4155-4E91-9226-152759BED9A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02D5EFE4-DEAC-4E3D-B2C6-CE6FC0DDDAF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05BC619-AC41-48F2-842B-E311B9AFE875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5A2218-15FC-449A-B0B5-887FFDD47103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13ABF6B2-3FD8-4EA2-A9BB-9B2AF70416BE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9B8BD1B2-56CF-4509-9B3E-C092D5A1CB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E4A40A4-1245-4EBD-B000-54D98F1CA47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41C7B3A-8106-42B8-A54C-8BBCF1C565B1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A9F31F4-C483-4D4C-87F2-D1D73FDAA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F0E123F9-D3FF-4EBC-880F-C8A22191EA13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B73FE4E-41CA-4698-BB2F-277DB5D4205B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9B612B8-00CD-432E-88F3-C578C08CE693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6053452B-9862-4727-A66A-B117A88B46D1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4231338B-D815-4173-8122-3A718B2B651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6AB6D2F4-7BB9-4764-B815-6B65C7E2976B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74CA0646-4D41-41B7-878B-22DAC179B5E9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C6D7AC2-8075-4D0F-B3BC-B2E4B0258C6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DBD48C29-F406-4BA8-B9C8-A16F44EDD50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806E668-7F14-4D0F-9CDF-5560B81CA36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C3B1F280-D736-4761-ACD1-3B48707946E2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78F0BF87-B947-4F8D-BDAF-E94FA85D0839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BE673757-DEDD-442B-B32F-D86884A2F97E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98E5D45-9CDF-45C1-ABBE-63A0E0FCB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CFD86492-AD67-4F32-A83B-5FC83D121CC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EEEBA99-E37D-4561-9817-86BA9CE671FD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B8D553D0-93F4-4F50-991D-6D0B7399D9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9D152EA-04AE-4FB3-BB52-478929133474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A114E413-A814-4E51-8726-A3C276F2C34C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6E5DC9A-2FE9-40B2-B07E-13769EE9F2A9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F3994ED-C727-42F2-9E8D-11C5C883D47E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6363FCE1-3894-4C21-9012-5CFA13BAD364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680898E-2DFD-414A-9FB6-0BDA31151663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FF9928B-F2B7-4C36-8C72-3E036AC8BCD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734A49B-49ED-4155-9B6C-2090CABB157A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47DFD67-0CAB-47BC-87F6-26F5EAC731B4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DDE1D8B-7AA6-45A5-A50D-0C3928E1A21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8AE1DBB-F205-4B00-ADF5-F9B93034E22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84916D5-5AA5-408C-8E59-C8201C83831A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27712702-ADB6-4D2D-9455-5A173E65EE53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B8D16EA-73F8-4604-BBD5-CED254DD5FF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BCF567E6-2C68-4218-B93F-A91282ECA539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7155F779-B735-4750-8CDE-F48B69194ACD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6891EBF-C6FD-4B1D-AF59-A913C3457F1C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4BF49387-9477-4AC5-ACE2-29F1EDE694AD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4B75AAA-8E02-487C-8EA2-7D3B53D4569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5D59A85-9AB1-4E2E-95CC-C38EF9A6836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3FEF3E1-12BB-4AA7-9F41-7A59CFDBF393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F88C8BD2-92AD-4F9A-A6A2-056C4DAF3C00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129D3952-F752-4005-B60D-1396EEDC41C2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0E87E88-4CCC-47DB-8F7A-167A709D2D44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8B6296BE-2CF8-437A-AC61-8D3765BD261E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EC9C3BAA-9925-4778-BC62-6364962906D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8A1EE14-C858-4C1F-89FB-C8D9717744F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26B2FC9-14CF-4FEB-8481-CC5B5FF08BAF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2268BAA6-3221-4B4A-B346-4D47A1D7ED3D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4A6EC252-0C7D-4B10-B3F6-543433E2F73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94A98D8-56D1-4B0B-BDD7-CB546A0C653D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A6D30E9-A296-4602-B030-E409FCD9AD3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77AE05E-D97E-4416-866E-EA303AB6CD0C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BA5531E-6CA7-417D-8F1E-ED9B20397C29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667E396-2E49-431B-8E06-7BA8E17A0856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F9B2BF8-E325-416B-9897-0AE51C51770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E6744421-E7D8-4B32-94C2-3F89C334A60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4E87F061-B1EB-4D5D-8BA3-B8CC443EDFF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7C04814-DFF5-4F76-84D7-FA86BBA9CBEE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3937E96-D15E-47FF-8C23-FC284828B1D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A246650C-DE44-409E-9BBB-4511A261C48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C2477C00-272A-43EB-A206-6523BE5E67CD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99A8F39-6763-4C8E-8547-A66B3002D827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3D4814-5466-47ED-B811-29AA146605A2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4DB622E0-4EC0-4D56-88F3-3781E6A4F055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11F7BE7-B09B-4234-89BB-C153AD45D8C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5825E959-D517-463D-9D91-97E3DFA28DAE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86CE6C4D-0D21-4064-9E47-841C2298C4E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B5F87BE-F355-435C-97E2-AD808CEC622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BA8C66A-B489-44CD-84C0-C7257576DDC0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sharedStrings.xml><?xml version="1.0" encoding="utf-8"?>
<sst xmlns="http://schemas.openxmlformats.org/spreadsheetml/2006/main" count="3401" uniqueCount="495">
  <si>
    <t>Data collection</t>
  </si>
  <si>
    <t>PARTNER</t>
  </si>
  <si>
    <t>Contact person</t>
  </si>
  <si>
    <t>Mar Daniel</t>
  </si>
  <si>
    <t>E-Mail:</t>
  </si>
  <si>
    <t>Phone:</t>
  </si>
  <si>
    <t>Untersuchungsparameter</t>
  </si>
  <si>
    <t>Functional unit</t>
  </si>
  <si>
    <t>Date of compilation</t>
  </si>
  <si>
    <t>10.12.2024</t>
  </si>
  <si>
    <t>Datenbank Information</t>
  </si>
  <si>
    <t>Background Database</t>
  </si>
  <si>
    <t>ecoinvent v3.8 cutoff</t>
  </si>
  <si>
    <t>Database for this process</t>
  </si>
  <si>
    <t>IWKS W4F Project</t>
  </si>
  <si>
    <t>The inputs, outputs and technology-related parameters are determined for each process (see process diagram).</t>
  </si>
  <si>
    <t>General process data</t>
  </si>
  <si>
    <t>Enter a general explanation of the process here</t>
  </si>
  <si>
    <t>The reference flow is a selected flow to which all other values refer (unless otherwise specified)</t>
  </si>
  <si>
    <t>Process description</t>
  </si>
  <si>
    <t>Input/Output: all values refer to the reference flow</t>
  </si>
  <si>
    <r>
      <t>Specify process properties numerically in the</t>
    </r>
    <r>
      <rPr>
        <b/>
        <sz val="11"/>
        <color theme="1"/>
        <rFont val="Calibri"/>
        <family val="2"/>
        <scheme val="minor"/>
      </rPr>
      <t xml:space="preserve"> Value</t>
    </r>
    <r>
      <rPr>
        <sz val="11"/>
        <color theme="1"/>
        <rFont val="Calibri"/>
        <family val="2"/>
        <scheme val="minor"/>
      </rPr>
      <t xml:space="preserve"> field</t>
    </r>
  </si>
  <si>
    <r>
      <t xml:space="preserve">Enter </t>
    </r>
    <r>
      <rPr>
        <b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 xml:space="preserve"> as text</t>
    </r>
  </si>
  <si>
    <t>Flow description</t>
  </si>
  <si>
    <t>properties are assigned to each flow</t>
  </si>
  <si>
    <t>the list of properties can be extended as required</t>
  </si>
  <si>
    <t>Specify flow properties numerically in the Value field</t>
  </si>
  <si>
    <t>In general, the following should be noted:</t>
  </si>
  <si>
    <t>- As many cells as possible should be filled in. --&gt; The more information, the more exact the result</t>
  </si>
  <si>
    <t>- Do not count anything twice (e.g. credit notes, staff requirements, etc.)</t>
  </si>
  <si>
    <t>- If necessary, additional lines can be inserted in each category.</t>
  </si>
  <si>
    <t>Location</t>
  </si>
  <si>
    <t>TU Darmstadt</t>
  </si>
  <si>
    <t>Reference flow</t>
  </si>
  <si>
    <t>please write amount here, e. g. '1000'</t>
  </si>
  <si>
    <t>*All values are related to the reference unit unless otherwise specified</t>
  </si>
  <si>
    <t>scaling and non-scaling flow properties</t>
  </si>
  <si>
    <t>Properties</t>
  </si>
  <si>
    <t>monetary_value</t>
  </si>
  <si>
    <t>EUR</t>
  </si>
  <si>
    <t>climate_change_total</t>
  </si>
  <si>
    <t>kg CO2-eq</t>
  </si>
  <si>
    <t>Process</t>
  </si>
  <si>
    <t>Process typ</t>
  </si>
  <si>
    <t>Collection</t>
  </si>
  <si>
    <t>Input flows</t>
  </si>
  <si>
    <t>Provider Data in Database</t>
  </si>
  <si>
    <t>Input</t>
  </si>
  <si>
    <t>Name</t>
  </si>
  <si>
    <t>Description</t>
  </si>
  <si>
    <t>Value</t>
  </si>
  <si>
    <t>Unit</t>
  </si>
  <si>
    <t>slope</t>
  </si>
  <si>
    <t>base</t>
  </si>
  <si>
    <t>Reference</t>
  </si>
  <si>
    <t>Database Provider Activity</t>
  </si>
  <si>
    <t>UUID</t>
  </si>
  <si>
    <t>Flow</t>
  </si>
  <si>
    <t xml:space="preserve">Value </t>
  </si>
  <si>
    <t xml:space="preserve">Unit </t>
  </si>
  <si>
    <t>In each category any number of lines can be added</t>
  </si>
  <si>
    <t>Please enter the name of the flow here or add already registered flows</t>
  </si>
  <si>
    <t>Specifications, Quality, Supply Chain, Supplier location, means of transport</t>
  </si>
  <si>
    <t>Amount</t>
  </si>
  <si>
    <t>best in SI</t>
  </si>
  <si>
    <t>scaling factor</t>
  </si>
  <si>
    <t>non scaling factor</t>
  </si>
  <si>
    <t>Data measured/estinated,  measurement errors, assumptions, literature sources</t>
  </si>
  <si>
    <t>Automitacilly fills in the name of the flow</t>
  </si>
  <si>
    <t>Costs, market price, … realted to one unit</t>
  </si>
  <si>
    <t>Lifetime of product</t>
  </si>
  <si>
    <t>Input material</t>
  </si>
  <si>
    <t>Energy</t>
  </si>
  <si>
    <t>Personnel</t>
  </si>
  <si>
    <t>Generic Flows</t>
  </si>
  <si>
    <t>Technology</t>
  </si>
  <si>
    <t>Process Parameters</t>
  </si>
  <si>
    <t>Scalable</t>
  </si>
  <si>
    <t>Specification,computational path,  range of value,</t>
  </si>
  <si>
    <t>0: unscalble; 1:  scable</t>
  </si>
  <si>
    <t>Facility parameters</t>
  </si>
  <si>
    <t>Lebensdauer</t>
  </si>
  <si>
    <t>a</t>
  </si>
  <si>
    <t>TRL</t>
  </si>
  <si>
    <t>Theoretische Betriebszeit</t>
  </si>
  <si>
    <t>€</t>
  </si>
  <si>
    <t>Durchsatz</t>
  </si>
  <si>
    <t>Investment Maschinen und Anlagen</t>
  </si>
  <si>
    <t>Investment Gebäude und Infrastruktur</t>
  </si>
  <si>
    <t>Investment Installation,</t>
  </si>
  <si>
    <t>Investment Planung, Entwicklung</t>
  </si>
  <si>
    <t>Wartung</t>
  </si>
  <si>
    <t>h/a</t>
  </si>
  <si>
    <t>Reparatur</t>
  </si>
  <si>
    <t>Rüstvorgang</t>
  </si>
  <si>
    <t>Raumbedarf</t>
  </si>
  <si>
    <t>m²</t>
  </si>
  <si>
    <t>Operation Parameters</t>
  </si>
  <si>
    <t>Arbeitstage/Jahr</t>
  </si>
  <si>
    <t>d/a</t>
  </si>
  <si>
    <t>Arbeitszeit /Tag</t>
  </si>
  <si>
    <t>h/d</t>
  </si>
  <si>
    <t>Output flows</t>
  </si>
  <si>
    <t xml:space="preserve">Output </t>
  </si>
  <si>
    <t>Specifications, Classification of hazard, Location of destination, planned treatment</t>
  </si>
  <si>
    <t>Products and valuable by-products</t>
  </si>
  <si>
    <t>Wastes, Losses</t>
  </si>
  <si>
    <t>Emissions</t>
  </si>
  <si>
    <t>Others</t>
  </si>
  <si>
    <t>Name of the sample(Flow)</t>
  </si>
  <si>
    <t>Generic Information</t>
  </si>
  <si>
    <t>Stakeholder Name</t>
  </si>
  <si>
    <t>Date</t>
  </si>
  <si>
    <t>Process name</t>
  </si>
  <si>
    <t>Process type</t>
  </si>
  <si>
    <t>Generic Data</t>
  </si>
  <si>
    <t>Comments</t>
  </si>
  <si>
    <t>Provide additional observations, notes, or exceptions related to the data in this row. (e,gmeasurement methods, unusual conditions, assumptions, data quality issues, or any anomalies encountered during data collection)</t>
  </si>
  <si>
    <t>Contamination</t>
  </si>
  <si>
    <t>Moisture Condition</t>
  </si>
  <si>
    <t>Material Composition</t>
  </si>
  <si>
    <t>wt(dry)</t>
  </si>
  <si>
    <t>Unit of wt (dry)</t>
  </si>
  <si>
    <t>wt(wet)</t>
  </si>
  <si>
    <t>Unit of wt (wet)</t>
  </si>
  <si>
    <t>Density [kg/m3]</t>
  </si>
  <si>
    <t>Color</t>
  </si>
  <si>
    <r>
      <t>This list includes commonly used material names and can be adjusted based on specific processes or inputs from stakeholders.</t>
    </r>
    <r>
      <rPr>
        <sz val="11"/>
        <color rgb="FFFF0000"/>
        <rFont val="Calibri"/>
        <family val="2"/>
        <scheme val="minor"/>
      </rPr>
      <t>The blank rows are for additional material types that may arise in specific processes. Use 'Others' if the material type cannot be specified</t>
    </r>
  </si>
  <si>
    <t>weight in the dry condition</t>
  </si>
  <si>
    <t>Allowed: ton,kg, g, %</t>
  </si>
  <si>
    <t>weight in the wet condition</t>
  </si>
  <si>
    <t xml:space="preserve"> measured data of this sample, </t>
  </si>
  <si>
    <t>color of this material componant</t>
  </si>
  <si>
    <t xml:space="preserve">Data measured/estinated,  measurement errors, </t>
  </si>
  <si>
    <t>Polypropylene (PP)</t>
  </si>
  <si>
    <t>Polyethylene Terephthalate(PET)</t>
  </si>
  <si>
    <t>Acrylonitrile Butadiene Styrene(ABS)</t>
  </si>
  <si>
    <t>High-Density Polyethylene (HDPE)</t>
  </si>
  <si>
    <t>Low-Density Polyethylene (LDPE)</t>
  </si>
  <si>
    <t>Polystyrene (PS)</t>
  </si>
  <si>
    <t>Polyvinyl Chloride (PVC)</t>
  </si>
  <si>
    <t>Polycarbonate (PC)</t>
  </si>
  <si>
    <t>Polymethyl Methacrylate (PMMA)</t>
  </si>
  <si>
    <t>Nylon (Polyamide, PA)</t>
  </si>
  <si>
    <t>Polyurethane (PUR)</t>
  </si>
  <si>
    <t>Fiber-Reinforced Plastics (FRP)</t>
  </si>
  <si>
    <t>Folien</t>
  </si>
  <si>
    <t>Weißblech (tinplate)</t>
  </si>
  <si>
    <t>PET Trays</t>
  </si>
  <si>
    <t>Mixed PET (90-10)</t>
  </si>
  <si>
    <t xml:space="preserve">Substitute Fuel </t>
  </si>
  <si>
    <t>Paper and Cardboard (PPK)</t>
  </si>
  <si>
    <t>Others Mixed Plastics</t>
  </si>
  <si>
    <t>Non-ferrous metals</t>
  </si>
  <si>
    <t>FE metals</t>
  </si>
  <si>
    <t>Foils</t>
  </si>
  <si>
    <t>FKN (Liquid cartons)</t>
  </si>
  <si>
    <t>Mixed plastics for energy recovery</t>
  </si>
  <si>
    <t>Sorting residues</t>
  </si>
  <si>
    <t>Polyolefin</t>
  </si>
  <si>
    <t>others</t>
  </si>
  <si>
    <t>Nane of material types</t>
  </si>
  <si>
    <t>Chemical Formal</t>
  </si>
  <si>
    <t>carbon content</t>
  </si>
  <si>
    <t>Standard Density  ( kg/m³)</t>
  </si>
  <si>
    <t>Reference for Density</t>
  </si>
  <si>
    <t>CAS Number</t>
  </si>
  <si>
    <t>Common Applications</t>
  </si>
  <si>
    <t>Standardized Sorting Number</t>
  </si>
  <si>
    <t>Sorting Guidelines</t>
  </si>
  <si>
    <t xml:space="preserve"> LCA Info (Carbon Footprint)</t>
  </si>
  <si>
    <t>References for Carbon footprint</t>
  </si>
  <si>
    <t>DIN SPEC 91446 Comments</t>
  </si>
  <si>
    <t>Identifies the type of material being analyzed</t>
  </si>
  <si>
    <t xml:space="preserve"> Material's characteristics or common uses, </t>
  </si>
  <si>
    <t>Specifies the molecular structure of the material</t>
  </si>
  <si>
    <t>According to the chemical formal</t>
  </si>
  <si>
    <t>Measured under standard conditions (e.g., temperature: 25°C, pressure: 1 atm, solid state unless specified)</t>
  </si>
  <si>
    <t>Link or source of information used to determine the standard density value of the material</t>
  </si>
  <si>
    <t>Unique Chemical Abstracts Service (CAS) identifier assigned to the material for standardized chemical referencing</t>
  </si>
  <si>
    <t>Standard or common color(s) of the material, useful for identification</t>
  </si>
  <si>
    <t>Typical uses or applications of the material in industry or daily life</t>
  </si>
  <si>
    <t>Instructions or recommendations for sorting the material during recycling or waste processing to maximize efficiency and accuracy</t>
  </si>
  <si>
    <t>Data on the material's carbon footprint, including production, transportation, or lifecycle assessments</t>
  </si>
  <si>
    <t>Source or citation for the carbon footprint data provided for the material</t>
  </si>
  <si>
    <t>Comments and recommendations based on DIN SPEC 91446 standards, including guidelines for recycling suitability, traceability, and purity requirements</t>
  </si>
  <si>
    <t>A versatile thermoplastic polymer used in packaging, textiles, and automotive components.</t>
  </si>
  <si>
    <t>(C3H6)n</t>
  </si>
  <si>
    <t>~85.7%</t>
  </si>
  <si>
    <t>https://materials.fsri.org/materialdetail/polypropylene-pp</t>
  </si>
  <si>
    <t>9003-07-0</t>
  </si>
  <si>
    <t xml:space="preserve">White </t>
  </si>
  <si>
    <t>laboratory equipment, medical devices, plastic straws, hot food containers</t>
  </si>
  <si>
    <t>Purity ≥ 96%, Max Contamination 4%, Form-Stable Articles ≥ 90%. Dry storage required</t>
  </si>
  <si>
    <t>Production Stage: 61.5 kg CO₂</t>
  </si>
  <si>
    <t>https://doi.org/10.3390/su11216000</t>
  </si>
  <si>
    <t>Recyclability: High, Suitable for mechanical recycling. Aim for DQL 3–4 with traceability and purity ≥ 96%</t>
  </si>
  <si>
    <t>A strong, lightweight plastic commonly used for beverage bottles and food containers.</t>
  </si>
  <si>
    <t>(C10H8O4)n</t>
  </si>
  <si>
    <t>~62.5%</t>
  </si>
  <si>
    <t>https://material-properties.org/pet-density-strength-melting-point-thermal-conductivity/</t>
  </si>
  <si>
    <t>25038-59-9</t>
  </si>
  <si>
    <t>Colorless</t>
  </si>
  <si>
    <t>packaging food and drinks</t>
  </si>
  <si>
    <t xml:space="preserve">58.6 kg CO₂/ton (cradle-to-resin) </t>
  </si>
  <si>
    <t>https://www.sciencedirect.com/science/article/pii/S0921344923003038#sec0006</t>
  </si>
  <si>
    <t>Highly recyclable. Focus on achieving DQL 4 with purity ≥ 94%. Recommended for food and beverage packaging.</t>
  </si>
  <si>
    <t>A durable thermoplastic used in automotive parts, electronics, and toys like LEGO bricks.</t>
  </si>
  <si>
    <t>C8H8·C4H6·C3H3N (variable ratios)</t>
  </si>
  <si>
    <t>~85-90% (depends on ratios)</t>
  </si>
  <si>
    <t>1040 - 1180</t>
  </si>
  <si>
    <t>https://matmake.com/properties/density-of-polymers-and-plastics.html</t>
  </si>
  <si>
    <t>Opaque ivory</t>
  </si>
  <si>
    <t>Consumer electronics, automotive, toys</t>
  </si>
  <si>
    <t>Recyclability: Moderate, Ensure purity ≥ 92%. Contamination limits ≤ 8%. Target DQL 2–3</t>
  </si>
  <si>
    <t>A strong, high-density plastic used in milk jugs, detergent bottles, and piping.</t>
  </si>
  <si>
    <t>(C2H4)n</t>
  </si>
  <si>
    <t>950 - 968</t>
  </si>
  <si>
    <t>Transparent</t>
  </si>
  <si>
    <t>plastic bags, bottles, pipes, containers, and toys</t>
  </si>
  <si>
    <t xml:space="preserve"> Purity ≥ 94%, Max Contamination 6%, Dry Storage.</t>
  </si>
  <si>
    <t xml:space="preserve">1600 kg CO₂ per ton(cradle-to-resin) </t>
  </si>
  <si>
    <t>High recyclability. Recommended DQL 3–4 for food-grade and non-food applications. Purity ≥ 94%.</t>
  </si>
  <si>
    <t>A flexible plastic used in grocery bags, plastic wraps, and squeezable bottles.</t>
  </si>
  <si>
    <t>912 - 925</t>
  </si>
  <si>
    <t>snap-on lids, trays, containers, plastic wraps, and films</t>
  </si>
  <si>
    <t xml:space="preserve"> 4.528 kg CO2/ kg of plastic;Polymer Production;((general cases and packaging)</t>
  </si>
  <si>
    <t>https://www.researchgate.net/publication/366198601_Carbon_Footprint_of_Single-Use_Plastic_Items_and_Their_Substitution</t>
  </si>
  <si>
    <t>Suitable for mechanical recycling. Aim for DQL 3–4 with purity ≥ 92%. Ensure contamination ≤ 8%.</t>
  </si>
  <si>
    <t>A lightweight plastic used in disposable cutlery, CD cases, and insulation materials.</t>
  </si>
  <si>
    <t>(C8H8)n</t>
  </si>
  <si>
    <t>~92.3%</t>
  </si>
  <si>
    <t xml:space="preserve">1054 - 1070 </t>
  </si>
  <si>
    <t xml:space="preserve"> Transparent</t>
  </si>
  <si>
    <t>takeaway containers, egg cartons, disposable tableware</t>
  </si>
  <si>
    <t>Purity ≥ 94%, Max Contamination 6%, EPS Articles &lt;1%, Dry Storage</t>
  </si>
  <si>
    <t xml:space="preserve"> 5.608 kg CO2/ kg of plastic;Polymer Production;((general cases and packaging)</t>
  </si>
  <si>
    <t>Moderate recyclability. Achieve DQL 2–3. Purity ≥ 94%, contamination limits ≤ 6%.</t>
  </si>
  <si>
    <t>A durable plastic used in pipes, cable insulation, and clothing.</t>
  </si>
  <si>
    <t>(C2H3Cl)n</t>
  </si>
  <si>
    <t>~38-43%</t>
  </si>
  <si>
    <t>1160 - 1550</t>
  </si>
  <si>
    <t>White</t>
  </si>
  <si>
    <t>Construction and Building</t>
  </si>
  <si>
    <t>Production Stage: 67 kg CO₂</t>
  </si>
  <si>
    <t>https://doi.org/10.1016/j.jenvman.2020.110172</t>
  </si>
  <si>
    <t>Recyclability: Low. Focus on achieving DQL 2. Ensure filler and stabilizer documentation for transparency</t>
  </si>
  <si>
    <t>A strong, transparent plastic used in eyewear lenses, CDs, and bulletproof glass.</t>
  </si>
  <si>
    <t>(C16H14O3)n</t>
  </si>
  <si>
    <t>~76.2%</t>
  </si>
  <si>
    <t>Consumer Electronics ...
Optical Applications ...
Medical and Food Industry</t>
  </si>
  <si>
    <t>Recyclability: Low to moderate. Include data on contaminants for DQL 2. Traceability tools recommended</t>
  </si>
  <si>
    <t xml:space="preserve">	A clear plastic known as acrylic, used in signs, displays, and aquariums.</t>
  </si>
  <si>
    <t>(C5H8O2)n</t>
  </si>
  <si>
    <t>~60%</t>
  </si>
  <si>
    <t>1180 - 1190</t>
  </si>
  <si>
    <t>construction to healthcare.</t>
  </si>
  <si>
    <t>Target DQL 2–3. Include traceability and contaminants data for recyclability</t>
  </si>
  <si>
    <t xml:space="preserve">	A synthetic polymer used in textiles, automotive applications, and carpets.</t>
  </si>
  <si>
    <t>(C12H22N2O2)n (Nylon 6,6 example)</t>
  </si>
  <si>
    <t>~63-67%</t>
  </si>
  <si>
    <t>https://material-properties.org/polyamide-nylon-density-strength-melting-point-thermal-conductivity/</t>
  </si>
  <si>
    <t>white or colorless</t>
  </si>
  <si>
    <t>transportation, electronics &amp; electrical, consumer goods, building &amp; construction, packaging</t>
  </si>
  <si>
    <t>Suitable for mechanical recycling. Focus on achieving DQL 2–3. Include data on stabilizers and purity levels.</t>
  </si>
  <si>
    <t>A versatile polymer used in foams, coatings, adhesives, and sealants</t>
  </si>
  <si>
    <t>Variable</t>
  </si>
  <si>
    <t xml:space="preserve">	~50-65% (depending on formulation)</t>
  </si>
  <si>
    <t>1050 - 1250</t>
  </si>
  <si>
    <t>https://matmake.com/materials-data/polyurethane-properties.html</t>
  </si>
  <si>
    <t xml:space="preserve"> black, gray or white </t>
  </si>
  <si>
    <t>Building insulation.
Refrigerators and freezers.
Furniture and bedding.
Footwear.
Automotive.
Coatings and adhesive</t>
  </si>
  <si>
    <t>Recyclability: Low. Focus on DQL 2. Document recyclability challenges (e.g., contamination).</t>
  </si>
  <si>
    <t>Composite materials made of a polymer matrix reinforced with fibers, used in aerospace and automotive industries.</t>
  </si>
  <si>
    <t>Composite Material</t>
  </si>
  <si>
    <t>Depends on resin and fiber composition</t>
  </si>
  <si>
    <t>Often opaque; color depends on the resin used</t>
  </si>
  <si>
    <t>aerospace, automotive, marine, and construction industries</t>
  </si>
  <si>
    <t>Difficult to recycle. Aim for DQL 1–2. Include filler content (glass fibers) and contaminant levels</t>
  </si>
  <si>
    <t>Thin plastic sheets used for packaging, wrapping, and protective coverings.</t>
  </si>
  <si>
    <t>Same as specific polymer used</t>
  </si>
  <si>
    <t>Varies (based on polymer type)</t>
  </si>
  <si>
    <t>ransparent; available in various colors</t>
  </si>
  <si>
    <t>Bags, carrier bags,films</t>
  </si>
  <si>
    <t>310-1</t>
  </si>
  <si>
    <t>Purity ≥ 92%, Max Contamination 8%, Transparent Films ≥ 42%.Dry storage required</t>
  </si>
  <si>
    <t>Recyclability: Moderate to High. Films are often recyclable but sensitive to contamination. Aim for DQL 3–4 with sorting and purity ≥ 92%. Document contamination limits.</t>
  </si>
  <si>
    <t>Thin steel sheets coated with tin</t>
  </si>
  <si>
    <t>N/A</t>
  </si>
  <si>
    <t>N/A (not carbon-based)</t>
  </si>
  <si>
    <t>Depends on the ratio of PET to other components</t>
  </si>
  <si>
    <t>Silvery with a shiny metallic finish</t>
  </si>
  <si>
    <t>Food and Beverage Packaging, Household Items</t>
  </si>
  <si>
    <t>Purity ≥ 75% PET trays, Max Contamination 17%, Specific limits for metals, PVC, and opaque PET</t>
  </si>
  <si>
    <t>Recyclability: High. Focus on achieving DQL 3 for sorting and documentation of material composition.</t>
  </si>
  <si>
    <t>Thermoformed trays made from PET</t>
  </si>
  <si>
    <t xml:space="preserve"> Transparent or light-colored; can be black for certain applications</t>
  </si>
  <si>
    <t>Food Packaging: ready-to-eat meals.
Beverage Containers: Trays for holding and organizing bottles.
Retail Display</t>
  </si>
  <si>
    <t>328-5</t>
  </si>
  <si>
    <t>Highly recyclable. Achieve DQL 4 with traceability and purity data (≥ 94%)</t>
  </si>
  <si>
    <t>Recycled PET blend, 90% clear and 10% colored</t>
  </si>
  <si>
    <t xml:space="preserve">	~62.5%</t>
  </si>
  <si>
    <t>Natural, White, Mix Color</t>
  </si>
  <si>
    <t>Recycling (rPET), Packaging (bottles, trays)</t>
  </si>
  <si>
    <t>Purity ≥ 98%, Max Contamination 2%, Transparent PET Bottles ≥ 90%, Other Rigid PET Articles ≤ 10%, Dry Storage Required</t>
  </si>
  <si>
    <t>Suitable for DQL 3. Ensure contamination limits and sorting for efficiency in recycling streams.</t>
  </si>
  <si>
    <t>Non-recyclable waste processed as fuel</t>
  </si>
  <si>
    <t>Depends on waste composition</t>
  </si>
  <si>
    <t>depends on the types of plastics and residuals used</t>
  </si>
  <si>
    <t>no specific color; depends on the composition of materials</t>
  </si>
  <si>
    <t>Industrial Application, Textiles</t>
  </si>
  <si>
    <t xml:space="preserve"> Purity ≥ 90%, Max Contamination ≤ 10%. Size Limits: Particles &lt; 20 mm (&lt; 5%) and &gt; 300 mm (&lt; 5%). Dry storage required</t>
  </si>
  <si>
    <t xml:space="preserve">	Focus on calorific value measurement for energy recovery. Document as DQL 1 for waste management strategies</t>
  </si>
  <si>
    <t>Materials made from cellulose fibers</t>
  </si>
  <si>
    <t>(C6H10O5)n</t>
  </si>
  <si>
    <t>~44.4%</t>
  </si>
  <si>
    <t>Brown, grey, or white</t>
  </si>
  <si>
    <t>Energy Recovery, Industrial Boilers, Power Plants</t>
  </si>
  <si>
    <t>urity ≥ 90%, Max Contamination 10%, Specific limits for liquid cartons, plastics, and metals. Dry storage required to prevent material degradation</t>
  </si>
  <si>
    <t>Target DQL 3. Document purity and contaminants for industrial applications</t>
  </si>
  <si>
    <t>A mixture of various plastic types, often processed together in recycling.</t>
  </si>
  <si>
    <t xml:space="preserve">	Mixed</t>
  </si>
  <si>
    <t xml:space="preserve">	Varies</t>
  </si>
  <si>
    <t>Depends on specific material composition</t>
  </si>
  <si>
    <t>A mix of colors depending on the type of plastic</t>
  </si>
  <si>
    <t>Composite plastic production, low-value recycled products</t>
  </si>
  <si>
    <t>Purity ≥ 90%, Max Contamination 10%, PET Articles &lt; 3%, PVC Articles &lt; 0.5%, Dry storage required</t>
  </si>
  <si>
    <t>Low recyclability. Aim for DQL 2. Include detailed contaminants and sorting guidelines</t>
  </si>
  <si>
    <t>Metals that do not contain significant amounts of iron, such as aluminum, copper, and brass.</t>
  </si>
  <si>
    <t>Varies based on the composition of non-ferrous metals (e.g., aluminum, copper, etc.)</t>
  </si>
  <si>
    <t>distinct color (e.g., copper is reddish, aluminum is silver</t>
  </si>
  <si>
    <t>Electronics,automotive (aluminum parts), construction (roofing, wiring)</t>
  </si>
  <si>
    <t>Purity ≥ 65%, Max Contamination 10%</t>
  </si>
  <si>
    <t>Focus on traceability and contaminants data for DQL 3.</t>
  </si>
  <si>
    <t>Ferrous metals containing iron, including steel and cast iron.</t>
  </si>
  <si>
    <t xml:space="preserve">	Composite Material</t>
  </si>
  <si>
    <t>silvery-gray</t>
  </si>
  <si>
    <t>Steel manufacturing, automotive parts (engine blocks, gears)</t>
  </si>
  <si>
    <t>Target DQL 3. Include data on purity and contaminants.</t>
  </si>
  <si>
    <t>Thin sheets of metal or plastic</t>
  </si>
  <si>
    <t>Depends on the thickness and material type (e.g., aluminum or plastic foil). For example, aluminum foil density is 2.7 g/cm³</t>
  </si>
  <si>
    <t>Shiny metallic</t>
  </si>
  <si>
    <t>Food packaging, pharmaceutical packaging</t>
  </si>
  <si>
    <t>Suitable for DQL 3. Document material composition and recyclability (e.g., aluminum/plastic).</t>
  </si>
  <si>
    <t xml:space="preserve">	Multi-layered cartons used for liquids like milk and juice, often made of paperboard, plastic, and aluminum.</t>
  </si>
  <si>
    <t>Varies (based on material composition)</t>
  </si>
  <si>
    <t>Depends on the proportion of each component and layer thickness</t>
  </si>
  <si>
    <t>Printed surfaces with multi-colored designs</t>
  </si>
  <si>
    <t>Beverage packaging (milk, juice), food packaging (soup, sauces), secondary recycling for paper content</t>
  </si>
  <si>
    <t>Target DQL 2. Ensure traceability and contaminants data for multi-layer packaging</t>
  </si>
  <si>
    <t>Various plastic wastes processed to produce energy through combustion.</t>
  </si>
  <si>
    <t>Mixed</t>
  </si>
  <si>
    <t>Density varies depending on the plastic types and contamination levels in the mixture</t>
  </si>
  <si>
    <t>mix of various colors and types</t>
  </si>
  <si>
    <t>Energy generation in waste-to-energy plants, industrial fuel substitute</t>
  </si>
  <si>
    <t>Focus on calorific value and contamination limits for DQL 1–2.</t>
  </si>
  <si>
    <t>Residual materials remaining after sorting processes, often sent to landfills or used for energy recovery.</t>
  </si>
  <si>
    <t>depends on waste stream composition. Typically measured as bulk density</t>
  </si>
  <si>
    <t xml:space="preserve"> dark or neutral colors</t>
  </si>
  <si>
    <t>Landfill, energy recovery in waste-to-energy plants, filler material in construction applications</t>
  </si>
  <si>
    <t>Purity ≥ 90%, Max Contamination (fine grain &lt; 5%, coarse grain &gt; 5%).Minimum calorific value (Hu) &gt; 13,000 kJ/kg, dry storage required</t>
  </si>
  <si>
    <t xml:space="preserve">	Aim for DQL 1. Document contaminants and waste composition</t>
  </si>
  <si>
    <t>Flexible items made from polyolefins like polyethylene and polypropylene, including films and bags.</t>
  </si>
  <si>
    <t>(C2H4)n or (C3H6)n</t>
  </si>
  <si>
    <t>~85-86%</t>
  </si>
  <si>
    <t xml:space="preserve"> depends on the type of polyolefin (PP,PE)</t>
  </si>
  <si>
    <t>White/transparent</t>
  </si>
  <si>
    <t>Packaging films, automotive parts, medical applications (syringes, tubing), reusable containers</t>
  </si>
  <si>
    <t>323-2</t>
  </si>
  <si>
    <t>Production Stage: 58.6 kg CO₂</t>
  </si>
  <si>
    <t>https://doi.org/10.1007/BF02978888</t>
  </si>
  <si>
    <t>Recyclability: High. Target DQL 3–4. Ensure purity ≥ 96% and contamination ≤ 4%.</t>
  </si>
  <si>
    <t>Recycling</t>
  </si>
  <si>
    <t>PP in PP sorted Products</t>
  </si>
  <si>
    <t>ton</t>
  </si>
  <si>
    <t>Food PP</t>
  </si>
  <si>
    <t>Non-food PP</t>
  </si>
  <si>
    <t>Trays PP</t>
  </si>
  <si>
    <t>MaD PP</t>
  </si>
  <si>
    <t>Mixed Plastics</t>
  </si>
  <si>
    <t>Sorting</t>
  </si>
  <si>
    <t>PET food packaging clear</t>
  </si>
  <si>
    <t>PET food packaging coloured</t>
  </si>
  <si>
    <t>PE food packaging</t>
  </si>
  <si>
    <t>%</t>
  </si>
  <si>
    <t>Plastics in Households</t>
  </si>
  <si>
    <t>Plastics from Households</t>
  </si>
  <si>
    <t>PET Deposit</t>
  </si>
  <si>
    <t>Waste</t>
  </si>
  <si>
    <t>Plastics in Different DS</t>
  </si>
  <si>
    <t>PP materials in DS</t>
  </si>
  <si>
    <t>PET materials in DS</t>
  </si>
  <si>
    <t>PS materials in DS</t>
  </si>
  <si>
    <t>HDPE materials in DS</t>
  </si>
  <si>
    <t>Film materials in DS</t>
  </si>
  <si>
    <t>MP materials in DS</t>
  </si>
  <si>
    <t>PP-flow</t>
  </si>
  <si>
    <t>PS-flow</t>
  </si>
  <si>
    <t>PET-flow</t>
  </si>
  <si>
    <t>HDPE-flow</t>
  </si>
  <si>
    <t>Film-flow</t>
  </si>
  <si>
    <t>PP in DS(without fraction sorted in MP)</t>
  </si>
  <si>
    <t>PP in PP sorted products</t>
  </si>
  <si>
    <t>PP in other sorted products</t>
  </si>
  <si>
    <t>186.2 PP for Sorting</t>
  </si>
  <si>
    <t>1198.7 ton Plastics in Different DS Collected for Sorting</t>
  </si>
  <si>
    <t>56.7 PS for Sorting</t>
  </si>
  <si>
    <t>PS in DS(without fraction sorted in MP)</t>
  </si>
  <si>
    <t>PS in PS sorted products</t>
  </si>
  <si>
    <t>PS in other sorted products</t>
  </si>
  <si>
    <t>PET in other sorted products</t>
  </si>
  <si>
    <t>147 PET for Sorting</t>
  </si>
  <si>
    <t>PET in DS(without fraction sorted in MP)</t>
  </si>
  <si>
    <t>PET in PET sorted products</t>
  </si>
  <si>
    <t>HDPE in HDPE sorted products</t>
  </si>
  <si>
    <t>HDPE in other sorted products</t>
  </si>
  <si>
    <t>HDPE in DS(without fraction sorted in MP)</t>
  </si>
  <si>
    <t>104.9 ton HDPE for Sorting</t>
  </si>
  <si>
    <t>Film in other sorted products</t>
  </si>
  <si>
    <t>Film in DS(without fraction sorted in MP)</t>
  </si>
  <si>
    <t>302.7  ton Film for Sorting</t>
  </si>
  <si>
    <t>106.9 ton sorted PP for Recycling</t>
  </si>
  <si>
    <t>Mixed Packaging PP</t>
  </si>
  <si>
    <t>PP recycling residues</t>
  </si>
  <si>
    <t>13 ton sorted PS for Recycling</t>
  </si>
  <si>
    <t>PS in PS sorted Products</t>
  </si>
  <si>
    <t>Rigids PS</t>
  </si>
  <si>
    <t>Mixed Packaging PS</t>
  </si>
  <si>
    <t>MaD PS</t>
  </si>
  <si>
    <t>PS recycling residues</t>
  </si>
  <si>
    <t>59.5 ton sorted PET for Recycling</t>
  </si>
  <si>
    <t>PET in PET sorted Products</t>
  </si>
  <si>
    <t>Food PET</t>
  </si>
  <si>
    <t>Non-food PET</t>
  </si>
  <si>
    <t>Mixed Packaging PET</t>
  </si>
  <si>
    <t>Trays PET</t>
  </si>
  <si>
    <t>MaD PET</t>
  </si>
  <si>
    <t>PET recycling residues</t>
  </si>
  <si>
    <t>30.4 ton sorted HDPE for Recycling</t>
  </si>
  <si>
    <t>HDPE in HDPE sorted Products</t>
  </si>
  <si>
    <t>Food HDPE</t>
  </si>
  <si>
    <t>Non-food HDPE</t>
  </si>
  <si>
    <t>Mixed Packaging HDPE</t>
  </si>
  <si>
    <t>HDPE recycling residues</t>
  </si>
  <si>
    <t>MaD HDPE</t>
  </si>
  <si>
    <t>&lt;A4 Film</t>
  </si>
  <si>
    <t>&gt;A4 Film</t>
  </si>
  <si>
    <t>MaD Film</t>
  </si>
  <si>
    <t>Film recycling residues</t>
  </si>
  <si>
    <t>145.7 ton sorted Film for Recycling</t>
  </si>
  <si>
    <t>Film in film sorted Products</t>
  </si>
  <si>
    <t>419 ton  Mixed Plastics sorted products for Recycling</t>
  </si>
  <si>
    <t>Mixed Plastics sorted products</t>
  </si>
  <si>
    <t>MPO</t>
  </si>
  <si>
    <t>MaD MP</t>
  </si>
  <si>
    <t>MP recycling residues</t>
  </si>
  <si>
    <t>PP food packaging</t>
  </si>
  <si>
    <t>sorting_flow_2_PP</t>
  </si>
  <si>
    <t>Mix food packaginga</t>
  </si>
  <si>
    <t>Mix food packaging</t>
  </si>
  <si>
    <t>PE non-food packaging</t>
  </si>
  <si>
    <t>PP non-food packaging</t>
  </si>
  <si>
    <t>PP trays</t>
  </si>
  <si>
    <t>Black plastics</t>
  </si>
  <si>
    <t>Foils ≥ DIN A4</t>
  </si>
  <si>
    <t>Foils &lt; DIN A4</t>
  </si>
  <si>
    <t>Non Packaging Plastics</t>
  </si>
  <si>
    <t>Packaging Composites</t>
  </si>
  <si>
    <t>Residues coarse</t>
  </si>
  <si>
    <t>Fine &lt; 40 mm</t>
  </si>
  <si>
    <t>Moisture and dirt</t>
  </si>
  <si>
    <t>15.4% ± 11.0%</t>
  </si>
  <si>
    <t>sorting_flow_2_PS</t>
  </si>
  <si>
    <t>PS rigids</t>
  </si>
  <si>
    <t>EPS</t>
  </si>
  <si>
    <t>12.4% ± 9.9%</t>
  </si>
  <si>
    <t>sorting_flow_2_PET</t>
  </si>
  <si>
    <t>PET non-food packaging</t>
  </si>
  <si>
    <t>PET trays</t>
  </si>
  <si>
    <t>11.4% ± 3.8%</t>
  </si>
  <si>
    <t>Film in Film sorted products</t>
  </si>
  <si>
    <t>19.8% ± 6.9%</t>
  </si>
  <si>
    <t>sorting_flow_2_HDPE</t>
  </si>
  <si>
    <t>6.8% ± 3.1%</t>
  </si>
  <si>
    <t>sorting_flow_1</t>
  </si>
  <si>
    <t>83,292.6 Mg/a ± 45.2%</t>
  </si>
  <si>
    <t>92,958.3 Mg/a ± 8.0%</t>
  </si>
  <si>
    <t>HDPE</t>
  </si>
  <si>
    <t>PP</t>
  </si>
  <si>
    <t>PS</t>
  </si>
  <si>
    <t>PET</t>
  </si>
  <si>
    <t>52,529.6 Mg/a ± 11.9%</t>
  </si>
  <si>
    <t>17,744.6 Mg/a ± 30.8%</t>
  </si>
  <si>
    <t>109,442.7 Mg/a ± 7.8%</t>
  </si>
  <si>
    <t>Flm material (mostly based on LDPE)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</si>
</sst>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8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sz val="14"/>
      <color rgb="FFFF0000"/>
      <name val="Calibri"/>
      <family val="2"/>
      <scheme val="minor"/>
    </font>
    <font>
      <sz val="16"/>
      <color rgb="FF0099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sz val="12"/>
      <color rgb="FFFF0000"/>
      <name val="Calibri"/>
      <family val="2"/>
      <scheme val="minor"/>
    </font>
    <font>
      <b/>
      <sz val="18"/>
      <color rgb="FF009999"/>
      <name val="Calibri"/>
      <family val="2"/>
      <scheme val="minor"/>
    </font>
    <font>
      <sz val="11"/>
      <color rgb="FF000000"/>
      <name val="Calibri"/>
      <family val="2"/>
    </font>
    <font>
      <sz val="11"/>
      <color rgb="FF00999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name val="Calibri"/>
      <family val="2"/>
      <scheme val="minor"/>
    </font>
    <font>
      <sz val="10.5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4"/>
      <color theme="2" tint="-0.249977111117893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4"/>
      <color theme="2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charset val="1"/>
    </font>
    <font>
      <sz val="11"/>
      <color rgb="FF000000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FFD965"/>
      </patternFill>
    </fill>
    <fill>
      <patternFill patternType="solid">
        <fgColor rgb="FF00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00937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9999"/>
      </right>
      <top/>
      <bottom/>
      <diagonal/>
    </border>
    <border>
      <left style="thin">
        <color indexed="64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medium">
        <color rgb="FF00999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999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9999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31" fillId="0" borderId="0"/>
    <xf numFmtId="0" fontId="35" fillId="14" borderId="0" applyNumberFormat="0" applyBorder="0" applyAlignment="0" applyProtection="0"/>
    <xf numFmtId="0" fontId="47" fillId="15" borderId="0" applyNumberFormat="0" applyBorder="0" applyAlignment="0" applyProtection="0"/>
    <xf numFmtId="0" fontId="48" fillId="16" borderId="42" applyNumberFormat="0" applyAlignment="0" applyProtection="0"/>
  </cellStyleXfs>
  <cellXfs count="314">
    <xf numFmtId="0" fontId="0" fillId="0" borderId="0" xfId="0"/>
    <xf numFmtId="0" fontId="0" fillId="2" borderId="0" xfId="0" applyFill="1"/>
    <xf numFmtId="0" fontId="6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/>
    </xf>
    <xf numFmtId="0" fontId="9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 wrapText="1"/>
    </xf>
    <xf numFmtId="0" fontId="3" fillId="0" borderId="0" xfId="0" applyFont="1"/>
    <xf numFmtId="0" fontId="10" fillId="2" borderId="0" xfId="0" applyFont="1" applyFill="1"/>
    <xf numFmtId="0" fontId="11" fillId="2" borderId="0" xfId="0" applyFont="1" applyFill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7" fillId="2" borderId="0" xfId="0" applyFont="1" applyFill="1" applyAlignment="1">
      <alignment vertical="top" wrapText="1"/>
    </xf>
    <xf numFmtId="0" fontId="14" fillId="2" borderId="0" xfId="0" applyFont="1" applyFill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vertical="top"/>
    </xf>
    <xf numFmtId="0" fontId="0" fillId="2" borderId="10" xfId="0" applyFill="1" applyBorder="1" applyAlignment="1">
      <alignment horizontal="center"/>
    </xf>
    <xf numFmtId="0" fontId="4" fillId="2" borderId="10" xfId="0" applyFont="1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1" xfId="0" applyFont="1" applyFill="1" applyBorder="1"/>
    <xf numFmtId="0" fontId="2" fillId="2" borderId="1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7" fillId="2" borderId="14" xfId="0" applyFont="1" applyFill="1" applyBorder="1" applyAlignment="1">
      <alignment vertical="center" wrapText="1"/>
    </xf>
    <xf numFmtId="0" fontId="25" fillId="2" borderId="0" xfId="0" applyFont="1" applyFill="1"/>
    <xf numFmtId="0" fontId="4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26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/>
    <xf numFmtId="0" fontId="2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6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top" wrapText="1"/>
    </xf>
    <xf numFmtId="0" fontId="28" fillId="2" borderId="0" xfId="0" applyFont="1" applyFill="1" applyAlignment="1">
      <alignment horizontal="center" vertical="center" wrapText="1"/>
    </xf>
    <xf numFmtId="0" fontId="24" fillId="2" borderId="0" xfId="0" applyFont="1" applyFill="1"/>
    <xf numFmtId="0" fontId="15" fillId="2" borderId="16" xfId="0" applyFont="1" applyFill="1" applyBorder="1" applyAlignment="1">
      <alignment vertical="center" wrapText="1"/>
    </xf>
    <xf numFmtId="0" fontId="30" fillId="2" borderId="0" xfId="0" applyFont="1" applyFill="1"/>
    <xf numFmtId="0" fontId="19" fillId="6" borderId="2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vertical="top" wrapText="1"/>
    </xf>
    <xf numFmtId="0" fontId="23" fillId="2" borderId="4" xfId="0" applyFont="1" applyFill="1" applyBorder="1" applyAlignment="1">
      <alignment vertical="top" wrapText="1"/>
    </xf>
    <xf numFmtId="0" fontId="29" fillId="2" borderId="0" xfId="0" applyFont="1" applyFill="1"/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32" fillId="2" borderId="19" xfId="0" applyFont="1" applyFill="1" applyBorder="1"/>
    <xf numFmtId="0" fontId="0" fillId="2" borderId="20" xfId="0" applyFill="1" applyBorder="1"/>
    <xf numFmtId="0" fontId="0" fillId="2" borderId="15" xfId="0" quotePrefix="1" applyFill="1" applyBorder="1"/>
    <xf numFmtId="0" fontId="0" fillId="2" borderId="9" xfId="0" applyFill="1" applyBorder="1"/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2" fillId="2" borderId="7" xfId="0" applyFont="1" applyFill="1" applyBorder="1"/>
    <xf numFmtId="0" fontId="0" fillId="2" borderId="7" xfId="0" quotePrefix="1" applyFill="1" applyBorder="1"/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4" fillId="2" borderId="0" xfId="0" applyFont="1" applyFill="1"/>
    <xf numFmtId="0" fontId="33" fillId="13" borderId="30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1" xfId="0" applyFont="1" applyFill="1" applyBorder="1"/>
    <xf numFmtId="0" fontId="4" fillId="0" borderId="1" xfId="0" applyFont="1" applyBorder="1" applyAlignment="1">
      <alignment horizontal="left" vertical="center"/>
    </xf>
    <xf numFmtId="0" fontId="4" fillId="2" borderId="1" xfId="0" applyFont="1" applyFill="1" applyBorder="1"/>
    <xf numFmtId="0" fontId="36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4" fillId="2" borderId="31" xfId="0" applyFont="1" applyFill="1" applyBorder="1" applyAlignment="1">
      <alignment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Protection="1">
      <protection hidden="1"/>
    </xf>
    <xf numFmtId="0" fontId="4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/>
    <xf numFmtId="0" fontId="4" fillId="2" borderId="1" xfId="0" applyFont="1" applyFill="1" applyBorder="1" applyAlignment="1" applyProtection="1">
      <alignment horizontal="center"/>
      <protection hidden="1"/>
    </xf>
    <xf numFmtId="0" fontId="33" fillId="5" borderId="32" xfId="0" applyFont="1" applyFill="1" applyBorder="1"/>
    <xf numFmtId="0" fontId="33" fillId="5" borderId="33" xfId="0" applyFont="1" applyFill="1" applyBorder="1"/>
    <xf numFmtId="0" fontId="33" fillId="5" borderId="34" xfId="0" applyFont="1" applyFill="1" applyBorder="1"/>
    <xf numFmtId="0" fontId="33" fillId="5" borderId="3" xfId="0" applyFont="1" applyFill="1" applyBorder="1"/>
    <xf numFmtId="0" fontId="33" fillId="5" borderId="29" xfId="0" applyFont="1" applyFill="1" applyBorder="1"/>
    <xf numFmtId="0" fontId="33" fillId="6" borderId="24" xfId="0" applyFont="1" applyFill="1" applyBorder="1"/>
    <xf numFmtId="0" fontId="33" fillId="6" borderId="33" xfId="0" applyFont="1" applyFill="1" applyBorder="1"/>
    <xf numFmtId="0" fontId="33" fillId="6" borderId="34" xfId="0" applyFont="1" applyFill="1" applyBorder="1"/>
    <xf numFmtId="0" fontId="33" fillId="6" borderId="30" xfId="0" applyFont="1" applyFill="1" applyBorder="1"/>
    <xf numFmtId="0" fontId="33" fillId="6" borderId="3" xfId="0" applyFont="1" applyFill="1" applyBorder="1"/>
    <xf numFmtId="0" fontId="33" fillId="6" borderId="29" xfId="0" applyFont="1" applyFill="1" applyBorder="1"/>
    <xf numFmtId="0" fontId="33" fillId="6" borderId="4" xfId="0" applyFont="1" applyFill="1" applyBorder="1"/>
    <xf numFmtId="0" fontId="33" fillId="7" borderId="3" xfId="0" applyFont="1" applyFill="1" applyBorder="1"/>
    <xf numFmtId="0" fontId="33" fillId="7" borderId="29" xfId="0" applyFont="1" applyFill="1" applyBorder="1"/>
    <xf numFmtId="0" fontId="33" fillId="7" borderId="4" xfId="0" applyFont="1" applyFill="1" applyBorder="1"/>
    <xf numFmtId="0" fontId="0" fillId="2" borderId="21" xfId="0" applyFill="1" applyBorder="1"/>
    <xf numFmtId="0" fontId="4" fillId="2" borderId="21" xfId="0" applyFont="1" applyFill="1" applyBorder="1" applyAlignment="1">
      <alignment vertical="center" wrapText="1"/>
    </xf>
    <xf numFmtId="0" fontId="4" fillId="0" borderId="21" xfId="0" applyFont="1" applyBorder="1" applyAlignment="1">
      <alignment horizontal="left" vertical="center" wrapText="1"/>
    </xf>
    <xf numFmtId="0" fontId="33" fillId="5" borderId="25" xfId="0" applyFont="1" applyFill="1" applyBorder="1"/>
    <xf numFmtId="0" fontId="0" fillId="10" borderId="22" xfId="0" applyFill="1" applyBorder="1" applyAlignment="1">
      <alignment vertical="center"/>
    </xf>
    <xf numFmtId="0" fontId="0" fillId="10" borderId="22" xfId="0" applyFill="1" applyBorder="1" applyAlignment="1">
      <alignment horizontal="left" vertical="center" wrapText="1"/>
    </xf>
    <xf numFmtId="0" fontId="33" fillId="7" borderId="28" xfId="0" applyFont="1" applyFill="1" applyBorder="1"/>
    <xf numFmtId="0" fontId="33" fillId="7" borderId="27" xfId="0" applyFont="1" applyFill="1" applyBorder="1"/>
    <xf numFmtId="0" fontId="33" fillId="7" borderId="16" xfId="0" applyFont="1" applyFill="1" applyBorder="1"/>
    <xf numFmtId="0" fontId="37" fillId="2" borderId="0" xfId="0" applyFont="1" applyFill="1"/>
    <xf numFmtId="0" fontId="0" fillId="10" borderId="35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1" borderId="9" xfId="0" applyFill="1" applyBorder="1" applyAlignment="1">
      <alignment horizontal="left" vertical="center" wrapText="1"/>
    </xf>
    <xf numFmtId="0" fontId="0" fillId="12" borderId="22" xfId="0" applyFill="1" applyBorder="1" applyAlignment="1">
      <alignment horizontal="left" vertical="center" wrapText="1"/>
    </xf>
    <xf numFmtId="0" fontId="33" fillId="5" borderId="23" xfId="0" applyFont="1" applyFill="1" applyBorder="1"/>
    <xf numFmtId="0" fontId="33" fillId="5" borderId="16" xfId="0" applyFont="1" applyFill="1" applyBorder="1"/>
    <xf numFmtId="0" fontId="35" fillId="2" borderId="1" xfId="5" applyNumberFormat="1" applyFill="1" applyBorder="1" applyAlignment="1">
      <alignment horizontal="right" vertical="center"/>
    </xf>
    <xf numFmtId="0" fontId="35" fillId="2" borderId="1" xfId="5" applyNumberFormat="1" applyFill="1" applyBorder="1"/>
    <xf numFmtId="0" fontId="35" fillId="2" borderId="1" xfId="5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 vertical="center"/>
    </xf>
    <xf numFmtId="0" fontId="7" fillId="2" borderId="36" xfId="0" applyFont="1" applyFill="1" applyBorder="1" applyAlignment="1">
      <alignment vertical="center" wrapText="1"/>
    </xf>
    <xf numFmtId="0" fontId="0" fillId="12" borderId="9" xfId="0" applyFill="1" applyBorder="1" applyAlignment="1">
      <alignment horizontal="left" vertical="center" wrapText="1"/>
    </xf>
    <xf numFmtId="0" fontId="33" fillId="7" borderId="23" xfId="0" applyFont="1" applyFill="1" applyBorder="1"/>
    <xf numFmtId="0" fontId="0" fillId="12" borderId="26" xfId="0" applyFill="1" applyBorder="1" applyAlignment="1">
      <alignment horizontal="left" vertical="center" wrapText="1"/>
    </xf>
    <xf numFmtId="0" fontId="34" fillId="2" borderId="0" xfId="0" applyFont="1" applyFill="1" applyAlignment="1">
      <alignment vertical="top" wrapText="1"/>
    </xf>
    <xf numFmtId="0" fontId="38" fillId="2" borderId="1" xfId="0" applyFont="1" applyFill="1" applyBorder="1" applyAlignment="1">
      <alignment horizontal="left" vertical="center" wrapText="1" readingOrder="1"/>
    </xf>
    <xf numFmtId="0" fontId="0" fillId="2" borderId="2" xfId="0" applyFill="1" applyBorder="1" applyAlignment="1">
      <alignment horizontal="center"/>
    </xf>
    <xf numFmtId="0" fontId="4" fillId="2" borderId="2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/>
    </xf>
    <xf numFmtId="0" fontId="0" fillId="2" borderId="21" xfId="2" applyFont="1" applyFill="1" applyBorder="1"/>
    <xf numFmtId="0" fontId="0" fillId="10" borderId="22" xfId="0" applyFill="1" applyBorder="1" applyAlignment="1">
      <alignment vertical="center" wrapText="1"/>
    </xf>
    <xf numFmtId="0" fontId="0" fillId="10" borderId="15" xfId="0" applyFill="1" applyBorder="1" applyAlignment="1">
      <alignment vertical="center" wrapText="1"/>
    </xf>
    <xf numFmtId="0" fontId="0" fillId="11" borderId="37" xfId="0" applyFill="1" applyBorder="1" applyAlignment="1">
      <alignment horizontal="left" vertical="center" wrapText="1"/>
    </xf>
    <xf numFmtId="0" fontId="7" fillId="2" borderId="38" xfId="0" applyFont="1" applyFill="1" applyBorder="1" applyAlignment="1">
      <alignment vertical="center" wrapText="1"/>
    </xf>
    <xf numFmtId="0" fontId="4" fillId="2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10" borderId="40" xfId="0" applyFill="1" applyBorder="1" applyAlignment="1">
      <alignment vertical="center" wrapText="1"/>
    </xf>
    <xf numFmtId="0" fontId="1" fillId="5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21" fillId="3" borderId="0" xfId="0" applyFont="1" applyFill="1" applyAlignment="1">
      <alignment horizontal="center" vertical="top"/>
    </xf>
    <xf numFmtId="0" fontId="12" fillId="2" borderId="1" xfId="1" applyFill="1" applyBorder="1" applyAlignment="1">
      <alignment horizontal="left" vertical="top" wrapText="1"/>
    </xf>
    <xf numFmtId="0" fontId="20" fillId="4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11" borderId="41" xfId="0" applyFill="1" applyBorder="1" applyAlignment="1">
      <alignment horizontal="left" vertical="center" wrapText="1"/>
    </xf>
    <xf numFmtId="0" fontId="0" fillId="2" borderId="5" xfId="0" applyFill="1" applyBorder="1"/>
    <xf numFmtId="0" fontId="41" fillId="0" borderId="1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center"/>
    </xf>
    <xf numFmtId="0" fontId="41" fillId="2" borderId="0" xfId="0" applyFont="1" applyFill="1"/>
    <xf numFmtId="0" fontId="41" fillId="0" borderId="0" xfId="0" applyFont="1" applyAlignment="1">
      <alignment vertical="top" wrapText="1"/>
    </xf>
    <xf numFmtId="0" fontId="41" fillId="2" borderId="0" xfId="5" applyNumberFormat="1" applyFont="1" applyFill="1" applyBorder="1" applyAlignment="1">
      <alignment horizontal="right" vertical="center"/>
    </xf>
    <xf numFmtId="0" fontId="41" fillId="2" borderId="0" xfId="5" applyNumberFormat="1" applyFont="1" applyFill="1" applyBorder="1"/>
    <xf numFmtId="0" fontId="41" fillId="2" borderId="0" xfId="0" applyFont="1" applyFill="1" applyAlignment="1">
      <alignment vertical="top" wrapText="1"/>
    </xf>
    <xf numFmtId="0" fontId="40" fillId="7" borderId="33" xfId="0" applyFont="1" applyFill="1" applyBorder="1"/>
    <xf numFmtId="0" fontId="41" fillId="12" borderId="22" xfId="0" applyFont="1" applyFill="1" applyBorder="1" applyAlignment="1">
      <alignment horizontal="left" vertical="center" wrapText="1"/>
    </xf>
    <xf numFmtId="0" fontId="41" fillId="2" borderId="5" xfId="0" applyFont="1" applyFill="1" applyBorder="1" applyAlignment="1">
      <alignment horizontal="center" vertical="center"/>
    </xf>
    <xf numFmtId="0" fontId="0" fillId="10" borderId="6" xfId="0" applyFill="1" applyBorder="1" applyAlignment="1">
      <alignment vertical="center" wrapText="1"/>
    </xf>
    <xf numFmtId="0" fontId="43" fillId="2" borderId="23" xfId="0" applyFont="1" applyFill="1" applyBorder="1" applyAlignment="1">
      <alignment vertical="center"/>
    </xf>
    <xf numFmtId="0" fontId="30" fillId="2" borderId="23" xfId="0" applyFont="1" applyFill="1" applyBorder="1"/>
    <xf numFmtId="0" fontId="33" fillId="6" borderId="27" xfId="0" applyFont="1" applyFill="1" applyBorder="1"/>
    <xf numFmtId="0" fontId="41" fillId="2" borderId="0" xfId="0" applyFont="1" applyFill="1" applyAlignment="1">
      <alignment horizontal="left" vertical="top" wrapText="1"/>
    </xf>
    <xf numFmtId="0" fontId="41" fillId="8" borderId="1" xfId="0" applyFont="1" applyFill="1" applyBorder="1" applyAlignment="1">
      <alignment vertical="top" wrapText="1"/>
    </xf>
    <xf numFmtId="0" fontId="44" fillId="2" borderId="0" xfId="0" applyFont="1" applyFill="1" applyAlignment="1">
      <alignment horizontal="center" vertical="center" wrapText="1"/>
    </xf>
    <xf numFmtId="0" fontId="41" fillId="0" borderId="0" xfId="0" applyFont="1"/>
    <xf numFmtId="0" fontId="45" fillId="8" borderId="6" xfId="0" applyFont="1" applyFill="1" applyBorder="1" applyAlignment="1">
      <alignment vertical="top" wrapText="1"/>
    </xf>
    <xf numFmtId="0" fontId="46" fillId="2" borderId="0" xfId="0" applyFont="1" applyFill="1"/>
    <xf numFmtId="0" fontId="41" fillId="10" borderId="5" xfId="0" applyFont="1" applyFill="1" applyBorder="1" applyAlignment="1">
      <alignment vertical="center" wrapText="1"/>
    </xf>
    <xf numFmtId="0" fontId="4" fillId="2" borderId="5" xfId="0" applyFont="1" applyFill="1" applyBorder="1"/>
    <xf numFmtId="0" fontId="41" fillId="10" borderId="6" xfId="0" applyFont="1" applyFill="1" applyBorder="1" applyAlignment="1">
      <alignment vertical="center"/>
    </xf>
    <xf numFmtId="0" fontId="41" fillId="10" borderId="6" xfId="0" applyFont="1" applyFill="1" applyBorder="1" applyAlignment="1">
      <alignment vertical="center" wrapText="1"/>
    </xf>
    <xf numFmtId="0" fontId="40" fillId="5" borderId="23" xfId="0" applyFont="1" applyFill="1" applyBorder="1"/>
    <xf numFmtId="0" fontId="40" fillId="5" borderId="4" xfId="0" applyFont="1" applyFill="1" applyBorder="1"/>
    <xf numFmtId="0" fontId="33" fillId="5" borderId="17" xfId="0" applyFont="1" applyFill="1" applyBorder="1"/>
    <xf numFmtId="0" fontId="40" fillId="5" borderId="28" xfId="0" applyFont="1" applyFill="1" applyBorder="1"/>
    <xf numFmtId="0" fontId="41" fillId="10" borderId="40" xfId="0" applyFont="1" applyFill="1" applyBorder="1" applyAlignment="1">
      <alignment vertical="center" wrapText="1"/>
    </xf>
    <xf numFmtId="0" fontId="40" fillId="5" borderId="25" xfId="0" applyFont="1" applyFill="1" applyBorder="1"/>
    <xf numFmtId="0" fontId="0" fillId="2" borderId="41" xfId="0" applyFill="1" applyBorder="1" applyAlignment="1">
      <alignment horizontal="center"/>
    </xf>
    <xf numFmtId="0" fontId="40" fillId="7" borderId="15" xfId="0" applyFont="1" applyFill="1" applyBorder="1"/>
    <xf numFmtId="0" fontId="41" fillId="12" borderId="1" xfId="0" applyFont="1" applyFill="1" applyBorder="1" applyAlignment="1">
      <alignment horizontal="left" vertical="center" wrapText="1"/>
    </xf>
    <xf numFmtId="0" fontId="41" fillId="12" borderId="2" xfId="0" applyFont="1" applyFill="1" applyBorder="1" applyAlignment="1">
      <alignment horizontal="left" vertical="center" wrapText="1"/>
    </xf>
    <xf numFmtId="0" fontId="41" fillId="12" borderId="5" xfId="0" applyFont="1" applyFill="1" applyBorder="1" applyAlignment="1">
      <alignment horizontal="left" vertical="center" wrapText="1"/>
    </xf>
    <xf numFmtId="0" fontId="40" fillId="7" borderId="16" xfId="0" applyFont="1" applyFill="1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center"/>
    </xf>
    <xf numFmtId="0" fontId="41" fillId="0" borderId="1" xfId="5" applyNumberFormat="1" applyFont="1" applyFill="1" applyBorder="1"/>
    <xf numFmtId="0" fontId="41" fillId="0" borderId="1" xfId="5" applyFont="1" applyFill="1" applyBorder="1" applyAlignment="1" applyProtection="1">
      <alignment horizontal="center"/>
      <protection hidden="1"/>
    </xf>
    <xf numFmtId="0" fontId="41" fillId="2" borderId="23" xfId="0" applyFont="1" applyFill="1" applyBorder="1"/>
    <xf numFmtId="0" fontId="0" fillId="2" borderId="19" xfId="0" applyFill="1" applyBorder="1"/>
    <xf numFmtId="0" fontId="41" fillId="0" borderId="1" xfId="0" applyFont="1" applyBorder="1" applyAlignment="1">
      <alignment horizontal="center" vertical="center" wrapText="1"/>
    </xf>
    <xf numFmtId="0" fontId="2" fillId="9" borderId="1" xfId="0" applyFont="1" applyFill="1" applyBorder="1" applyAlignment="1">
      <alignment vertical="center"/>
    </xf>
    <xf numFmtId="0" fontId="2" fillId="8" borderId="21" xfId="0" applyFont="1" applyFill="1" applyBorder="1" applyAlignment="1">
      <alignment vertical="center" wrapText="1"/>
    </xf>
    <xf numFmtId="0" fontId="2" fillId="9" borderId="21" xfId="0" applyFont="1" applyFill="1" applyBorder="1" applyAlignment="1">
      <alignment vertical="center" wrapText="1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Border="1" applyAlignment="1" applyProtection="1">
      <alignment horizontal="center"/>
      <protection hidden="1"/>
    </xf>
    <xf numFmtId="0" fontId="41" fillId="2" borderId="1" xfId="0" applyFont="1" applyFill="1" applyBorder="1" applyAlignment="1">
      <alignment horizontal="center" vertical="center" wrapText="1"/>
    </xf>
    <xf numFmtId="0" fontId="50" fillId="17" borderId="1" xfId="6" applyFont="1" applyFill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49" fillId="17" borderId="1" xfId="0" applyFont="1" applyFill="1" applyBorder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48" fillId="19" borderId="1" xfId="7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9" borderId="1" xfId="0" applyFill="1" applyBorder="1" applyAlignment="1">
      <alignment vertical="center"/>
    </xf>
    <xf numFmtId="0" fontId="5" fillId="19" borderId="1" xfId="5" applyFont="1" applyFill="1" applyBorder="1" applyAlignment="1">
      <alignment horizontal="center" wrapText="1"/>
    </xf>
    <xf numFmtId="0" fontId="52" fillId="0" borderId="1" xfId="0" applyFont="1" applyBorder="1"/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9" xfId="0" applyBorder="1"/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52" fillId="0" borderId="0" xfId="0" applyFont="1" applyAlignment="1">
      <alignment horizontal="center"/>
    </xf>
    <xf numFmtId="0" fontId="0" fillId="0" borderId="49" xfId="0" applyBorder="1" applyAlignment="1">
      <alignment horizontal="center" wrapText="1"/>
    </xf>
    <xf numFmtId="0" fontId="1" fillId="17" borderId="43" xfId="6" applyFont="1" applyFill="1" applyBorder="1" applyAlignment="1">
      <alignment horizontal="center"/>
    </xf>
    <xf numFmtId="0" fontId="1" fillId="17" borderId="46" xfId="6" applyFont="1" applyFill="1" applyBorder="1" applyAlignment="1">
      <alignment horizontal="center"/>
    </xf>
    <xf numFmtId="0" fontId="1" fillId="17" borderId="46" xfId="6" applyFont="1" applyFill="1" applyBorder="1" applyAlignment="1"/>
    <xf numFmtId="0" fontId="2" fillId="21" borderId="0" xfId="6" applyFont="1" applyFill="1" applyBorder="1" applyAlignment="1">
      <alignment horizontal="center"/>
    </xf>
    <xf numFmtId="0" fontId="2" fillId="21" borderId="0" xfId="6" applyFont="1" applyFill="1" applyBorder="1" applyAlignment="1"/>
    <xf numFmtId="0" fontId="12" fillId="0" borderId="0" xfId="1" applyBorder="1" applyAlignment="1">
      <alignment horizontal="center"/>
    </xf>
    <xf numFmtId="0" fontId="12" fillId="0" borderId="0" xfId="1" applyBorder="1" applyAlignment="1">
      <alignment horizontal="center" vertical="center"/>
    </xf>
    <xf numFmtId="0" fontId="56" fillId="0" borderId="0" xfId="0" applyFont="1"/>
    <xf numFmtId="0" fontId="57" fillId="0" borderId="0" xfId="1" applyFont="1" applyBorder="1" applyAlignment="1">
      <alignment horizontal="center"/>
    </xf>
    <xf numFmtId="0" fontId="57" fillId="0" borderId="0" xfId="1" applyFont="1" applyBorder="1" applyAlignment="1">
      <alignment horizontal="center" vertical="center"/>
    </xf>
    <xf numFmtId="0" fontId="50" fillId="17" borderId="1" xfId="6" applyFont="1" applyFill="1" applyBorder="1"/>
    <xf numFmtId="0" fontId="0" fillId="0" borderId="0" xfId="0" applyAlignment="1">
      <alignment wrapText="1"/>
    </xf>
    <xf numFmtId="0" fontId="12" fillId="0" borderId="0" xfId="1" applyBorder="1" applyAlignment="1"/>
    <xf numFmtId="0" fontId="12" fillId="0" borderId="49" xfId="1" applyBorder="1" applyAlignment="1"/>
    <xf numFmtId="0" fontId="1" fillId="17" borderId="45" xfId="6" applyFont="1" applyFill="1" applyBorder="1" applyAlignment="1"/>
    <xf numFmtId="0" fontId="2" fillId="21" borderId="41" xfId="6" applyFont="1" applyFill="1" applyBorder="1" applyAlignment="1"/>
    <xf numFmtId="0" fontId="0" fillId="0" borderId="41" xfId="0" applyBorder="1"/>
    <xf numFmtId="0" fontId="0" fillId="0" borderId="48" xfId="0" applyBorder="1"/>
    <xf numFmtId="0" fontId="52" fillId="0" borderId="1" xfId="0" applyFont="1" applyBorder="1" applyAlignment="1">
      <alignment horizontal="center" vertical="center"/>
    </xf>
    <xf numFmtId="0" fontId="5" fillId="19" borderId="1" xfId="5" applyFont="1" applyFill="1" applyBorder="1" applyAlignment="1">
      <alignment horizontal="center" vertical="center" wrapText="1"/>
    </xf>
    <xf numFmtId="0" fontId="53" fillId="17" borderId="1" xfId="0" applyFont="1" applyFill="1" applyBorder="1" applyAlignment="1">
      <alignment horizontal="center" vertical="center"/>
    </xf>
    <xf numFmtId="0" fontId="48" fillId="19" borderId="1" xfId="7" applyFill="1" applyBorder="1" applyAlignment="1">
      <alignment horizontal="center" vertical="center"/>
    </xf>
    <xf numFmtId="0" fontId="48" fillId="19" borderId="1" xfId="7" applyFill="1" applyBorder="1" applyAlignment="1"/>
    <xf numFmtId="0" fontId="4" fillId="2" borderId="1" xfId="0" applyFont="1" applyFill="1" applyBorder="1" applyAlignment="1">
      <alignment horizontal="right" vertical="center"/>
    </xf>
    <xf numFmtId="0" fontId="0" fillId="0" borderId="22" xfId="0" applyFill="1" applyBorder="1"/>
    <xf numFmtId="0" fontId="23" fillId="2" borderId="17" xfId="0" applyFont="1" applyFill="1" applyBorder="1" applyAlignment="1">
      <alignment horizontal="center" vertical="center" wrapText="1"/>
    </xf>
    <xf numFmtId="0" fontId="0" fillId="2" borderId="0" xfId="0" applyFont="1" applyFill="1"/>
    <xf numFmtId="0" fontId="0" fillId="2" borderId="0" xfId="0" applyFill="1" applyAlignment="1">
      <alignment horizontal="right"/>
    </xf>
    <xf numFmtId="2" fontId="53" fillId="17" borderId="1" xfId="0" applyNumberFormat="1" applyFont="1" applyFill="1" applyBorder="1" applyAlignment="1">
      <alignment horizontal="center" vertical="center"/>
    </xf>
    <xf numFmtId="2" fontId="48" fillId="19" borderId="1" xfId="7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5" fillId="19" borderId="1" xfId="5" applyNumberFormat="1" applyFont="1" applyFill="1" applyBorder="1" applyAlignment="1">
      <alignment horizontal="center" vertical="center" wrapText="1"/>
    </xf>
    <xf numFmtId="2" fontId="52" fillId="0" borderId="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/>
    <xf numFmtId="0" fontId="0" fillId="0" borderId="4" xfId="0" applyBorder="1" applyAlignment="1"/>
    <xf numFmtId="0" fontId="40" fillId="5" borderId="28" xfId="0" applyFont="1" applyFill="1" applyBorder="1" applyAlignment="1"/>
    <xf numFmtId="0" fontId="41" fillId="0" borderId="27" xfId="0" applyFont="1" applyBorder="1" applyAlignment="1"/>
    <xf numFmtId="0" fontId="0" fillId="0" borderId="16" xfId="0" applyBorder="1" applyAlignment="1"/>
    <xf numFmtId="0" fontId="40" fillId="7" borderId="3" xfId="0" applyFont="1" applyFill="1" applyBorder="1" applyAlignment="1"/>
    <xf numFmtId="0" fontId="41" fillId="7" borderId="29" xfId="0" applyFont="1" applyFill="1" applyBorder="1" applyAlignment="1"/>
    <xf numFmtId="0" fontId="6" fillId="8" borderId="1" xfId="0" applyFont="1" applyFill="1" applyBorder="1" applyAlignment="1">
      <alignment horizontal="center" vertical="center"/>
    </xf>
    <xf numFmtId="0" fontId="51" fillId="18" borderId="35" xfId="0" applyFont="1" applyFill="1" applyBorder="1" applyAlignment="1">
      <alignment horizontal="center" vertical="center"/>
    </xf>
    <xf numFmtId="0" fontId="51" fillId="18" borderId="22" xfId="0" applyFont="1" applyFill="1" applyBorder="1" applyAlignment="1">
      <alignment horizontal="center" vertical="center"/>
    </xf>
    <xf numFmtId="0" fontId="51" fillId="18" borderId="6" xfId="0" applyFont="1" applyFill="1" applyBorder="1" applyAlignment="1">
      <alignment horizontal="center" vertical="center"/>
    </xf>
    <xf numFmtId="0" fontId="50" fillId="17" borderId="1" xfId="5" applyFont="1" applyFill="1" applyBorder="1" applyAlignment="1">
      <alignment horizontal="center" indent="1"/>
    </xf>
    <xf numFmtId="0" fontId="51" fillId="20" borderId="35" xfId="0" applyFont="1" applyFill="1" applyBorder="1" applyAlignment="1">
      <alignment horizontal="center" vertical="center" wrapText="1"/>
    </xf>
    <xf numFmtId="0" fontId="51" fillId="20" borderId="22" xfId="0" applyFont="1" applyFill="1" applyBorder="1" applyAlignment="1">
      <alignment horizontal="center" vertical="center" wrapText="1"/>
    </xf>
    <xf numFmtId="0" fontId="51" fillId="20" borderId="6" xfId="0" applyFont="1" applyFill="1" applyBorder="1" applyAlignment="1">
      <alignment horizontal="center" vertical="center" wrapText="1"/>
    </xf>
    <xf numFmtId="0" fontId="50" fillId="17" borderId="1" xfId="0" applyFont="1" applyFill="1" applyBorder="1" applyAlignment="1">
      <alignment horizontal="center" indent="1"/>
    </xf>
    <xf numFmtId="0" fontId="50" fillId="17" borderId="1" xfId="5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1" xfId="0" applyBorder="1" applyAlignment="1">
      <alignment horizontal="center"/>
    </xf>
    <xf numFmtId="0" fontId="53" fillId="17" borderId="2" xfId="0" applyFont="1" applyFill="1" applyBorder="1" applyAlignment="1">
      <alignment horizontal="center"/>
    </xf>
    <xf numFmtId="0" fontId="53" fillId="17" borderId="50" xfId="0" applyFont="1" applyFill="1" applyBorder="1" applyAlignment="1">
      <alignment horizontal="center"/>
    </xf>
    <xf numFmtId="0" fontId="53" fillId="17" borderId="21" xfId="0" applyFont="1" applyFill="1" applyBorder="1" applyAlignment="1">
      <alignment horizontal="center"/>
    </xf>
    <xf numFmtId="0" fontId="50" fillId="17" borderId="2" xfId="6" applyFont="1" applyFill="1" applyBorder="1" applyAlignment="1">
      <alignment horizontal="center" vertical="center"/>
    </xf>
    <xf numFmtId="0" fontId="50" fillId="17" borderId="50" xfId="6" applyFont="1" applyFill="1" applyBorder="1" applyAlignment="1">
      <alignment horizontal="center" vertical="center"/>
    </xf>
    <xf numFmtId="0" fontId="50" fillId="17" borderId="21" xfId="6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52" fillId="0" borderId="50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52" fillId="0" borderId="50" xfId="0" applyFont="1" applyBorder="1" applyAlignment="1">
      <alignment horizontal="center" vertical="center" wrapText="1"/>
    </xf>
    <xf numFmtId="0" fontId="52" fillId="0" borderId="21" xfId="0" applyFont="1" applyBorder="1" applyAlignment="1">
      <alignment horizontal="center" vertical="center" wrapText="1"/>
    </xf>
    <xf numFmtId="2" fontId="50" fillId="17" borderId="1" xfId="5" applyNumberFormat="1" applyFont="1" applyFill="1" applyBorder="1" applyAlignment="1">
      <alignment horizontal="center" vertical="center"/>
    </xf>
  </cellXfs>
  <cellStyles count="8">
    <cellStyle name="Good" xfId="6" builtinId="26"/>
    <cellStyle name="Hyperlink" xfId="1" builtinId="8"/>
    <cellStyle name="Neutral" xfId="5" builtinId="28"/>
    <cellStyle name="Normal" xfId="0" builtinId="0"/>
    <cellStyle name="Output" xfId="7" builtinId="21"/>
    <cellStyle name="Standard 2" xfId="2" xr:uid="{00000000-0005-0000-0000-000002000000}"/>
    <cellStyle name="Standard 3" xfId="3" xr:uid="{00000000-0005-0000-0000-000003000000}"/>
    <cellStyle name="Standard 4" xfId="4" xr:uid="{00000000-0005-0000-0000-000004000000}"/>
  </cellStyles>
  <dxfs count="0"/>
  <tableStyles count="0" defaultTableStyle="TableStyleMedium2" defaultPivotStyle="PivotStyleLight16"/>
  <colors>
    <mruColors>
      <color rgb="FFD1FFFF"/>
      <color rgb="FF009999"/>
      <color rgb="FF33CCCC"/>
      <color rgb="FFFFCCCC"/>
      <color rgb="FF996633"/>
      <color rgb="FFCC00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70</xdr:row>
      <xdr:rowOff>150280</xdr:rowOff>
    </xdr:from>
    <xdr:ext cx="1637756" cy="311496"/>
    <xdr:sp macro="" textlink="">
      <xdr:nvSpPr>
        <xdr:cNvPr id="97" name="Textfeld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8635980" y="14046197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3" name="Gruppier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08" name="Textfeld 24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12" name="Gruppieren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20" name="Pfeil nach recht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6" name="Pfeil nach rechts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1239860</xdr:colOff>
      <xdr:row>3</xdr:row>
      <xdr:rowOff>4082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163660" cy="543486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71</xdr:row>
      <xdr:rowOff>150280</xdr:rowOff>
    </xdr:from>
    <xdr:ext cx="1637756" cy="311496"/>
    <xdr:sp macro="" textlink="">
      <xdr:nvSpPr>
        <xdr:cNvPr id="10" name="Textfeld 96">
          <a:extLst>
            <a:ext uri="{FF2B5EF4-FFF2-40B4-BE49-F238E27FC236}">
              <a16:creationId xmlns:a16="http://schemas.microsoft.com/office/drawing/2014/main" id="{98F6B075-D95B-4723-B9F9-8F7536A6B076}"/>
            </a:ext>
          </a:extLst>
        </xdr:cNvPr>
        <xdr:cNvSpPr txBox="1"/>
      </xdr:nvSpPr>
      <xdr:spPr>
        <a:xfrm>
          <a:off x="7955280" y="14193940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" name="Gruppieren 112">
          <a:extLst>
            <a:ext uri="{FF2B5EF4-FFF2-40B4-BE49-F238E27FC236}">
              <a16:creationId xmlns:a16="http://schemas.microsoft.com/office/drawing/2014/main" id="{39368DB3-8DAE-442B-A64C-4614A8216AC1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2" name="Textfeld 24">
            <a:extLst>
              <a:ext uri="{FF2B5EF4-FFF2-40B4-BE49-F238E27FC236}">
                <a16:creationId xmlns:a16="http://schemas.microsoft.com/office/drawing/2014/main" id="{3B2B4C22-EBF3-47EF-900C-8407DCFACC7F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3" name="Gruppieren 111">
            <a:extLst>
              <a:ext uri="{FF2B5EF4-FFF2-40B4-BE49-F238E27FC236}">
                <a16:creationId xmlns:a16="http://schemas.microsoft.com/office/drawing/2014/main" id="{9C56D519-7DEE-48F9-87DE-9A79D4DE9947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14" name="Pfeil nach rechts 19">
              <a:extLst>
                <a:ext uri="{FF2B5EF4-FFF2-40B4-BE49-F238E27FC236}">
                  <a16:creationId xmlns:a16="http://schemas.microsoft.com/office/drawing/2014/main" id="{4173B650-D782-4CAB-A6AF-27293D60455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hteck 4">
              <a:extLst>
                <a:ext uri="{FF2B5EF4-FFF2-40B4-BE49-F238E27FC236}">
                  <a16:creationId xmlns:a16="http://schemas.microsoft.com/office/drawing/2014/main" id="{6A6B7FD8-0A36-43F4-96AC-740B7E31AD31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7" name="Pfeil nach rechts 15">
              <a:extLst>
                <a:ext uri="{FF2B5EF4-FFF2-40B4-BE49-F238E27FC236}">
                  <a16:creationId xmlns:a16="http://schemas.microsoft.com/office/drawing/2014/main" id="{D306305A-BCAD-41D1-8FD9-F41CDC17A621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1514180</xdr:colOff>
      <xdr:row>3</xdr:row>
      <xdr:rowOff>118382</xdr:rowOff>
    </xdr:to>
    <xdr:pic>
      <xdr:nvPicPr>
        <xdr:cNvPr id="18" name="Grafik 8">
          <a:extLst>
            <a:ext uri="{FF2B5EF4-FFF2-40B4-BE49-F238E27FC236}">
              <a16:creationId xmlns:a16="http://schemas.microsoft.com/office/drawing/2014/main" id="{DE378C7A-C1E9-4D97-AAD6-11152F58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437980" cy="644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A8AF8E0-6797-4470-9DF4-8EFDE1E9772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A076B5D-84E2-4CF3-93A9-772ABDB0611F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39308-87A4-4044-A0E2-B7C9BD98C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3FE9FDA6-2261-4D67-9AE1-15A35029B42E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A5E94195-7887-4EE8-8D26-BF10476B15FA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D8730-918E-4CF1-A5B5-41D9915B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EF98E723-CE62-4864-AB76-DCFCCDEFCCF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3EAE82AD-9828-49F7-B6D6-9B6F8FB148F1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D3363AA-025A-450E-BFFA-2D1240EE4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E099F9F-BA9E-42D2-BBE9-37C56F07649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7D810D5-ACEF-43EA-B987-2150273845A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CEFE68D-6FFE-4524-8DF1-B43A8CFA1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9AF4C44-75F2-4550-B930-806E4320F12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2BF968C8-A59A-46E0-A146-030C713907F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C358D27-1E95-4902-8970-7E34A421C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C862715A-83DC-4A6D-BD01-C144A5F068D5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5BF61441-82B0-4ADE-B6C1-6168B28EB7C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FCEEB-7CF7-4017-996B-39FBCCC16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692570C-B159-4C05-89DA-F17D8421C0F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C32EA8-B894-4DB7-B195-1F55A44D5ED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C5872-C2FA-4F6F-BB0C-74886325E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D05C2DD-69C1-43D5-922C-A482FAC5E405}"/>
            </a:ext>
          </a:extLst>
        </xdr:cNvPr>
        <xdr:cNvSpPr/>
      </xdr:nvSpPr>
      <xdr:spPr>
        <a:xfrm rot="5400000">
          <a:off x="8856508" y="-1869760"/>
          <a:ext cx="431547" cy="18144564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0EEDEA91-3D49-4D95-8AAB-B5A540BA7539}"/>
            </a:ext>
          </a:extLst>
        </xdr:cNvPr>
        <xdr:cNvSpPr/>
      </xdr:nvSpPr>
      <xdr:spPr>
        <a:xfrm rot="5400000">
          <a:off x="8830369" y="4704893"/>
          <a:ext cx="445554" cy="18106292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0BB3985-B0E8-4269-B1D3-19EA6A090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3009" y="941297"/>
          <a:ext cx="2652775" cy="131612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6CCE964-7522-4103-8E7D-63446D5C300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A28ED12-0ABA-4FEC-9403-B3EB6F0E34A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F3CFAA2-CB16-4B61-A9F6-B801272B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46F57D3A-174D-4B18-9AA9-371E449CBF69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9E4C0E4-6C3A-48A4-9E37-B513CEA085E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A709BB7-7540-4776-9A6D-3DADF113E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B50587FB-BD66-4727-8F2B-7FC171B8CEA6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731289A-AAA3-4CD4-AB5A-498C8125EFA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B369BF7-F935-4AC0-A6F8-553DB1385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9425426-AA3F-48CB-AFC2-A5DC323E7503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C17F0B1D-03E3-463F-93B0-171190FF2887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CADC9C2-52C2-477C-8DF0-085AEC679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5835C8DD-D8A4-4057-B6FA-F2C6D6BF2B5B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7DBE61-9FE5-401A-9E1A-FD46ED53035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EC1C68F-584F-42A1-BBBA-32ED88B73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/Downloads/2024_12_09_table_MFA_draft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FA_template"/>
      <sheetName val="Material table"/>
      <sheetName val="Flow Table"/>
      <sheetName val="Collection_Sheet"/>
      <sheetName val="Sorting_sheet"/>
      <sheetName val="recycling_sheet"/>
    </sheetNames>
    <sheetDataSet>
      <sheetData sheetId="0"/>
      <sheetData sheetId="1">
        <row r="1">
          <cell r="A1" t="str">
            <v>Nane of material types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matmake.com/properties/density-of-polymers-and-plastics.html" TargetMode="External"/><Relationship Id="rId3" Type="http://schemas.openxmlformats.org/officeDocument/2006/relationships/hyperlink" Target="https://www.sciencedirect.com/science/article/pii/S0921344923003038" TargetMode="External"/><Relationship Id="rId7" Type="http://schemas.openxmlformats.org/officeDocument/2006/relationships/hyperlink" Target="https://doi.org/10.1016/j.jenvman.2020.110172" TargetMode="External"/><Relationship Id="rId12" Type="http://schemas.openxmlformats.org/officeDocument/2006/relationships/hyperlink" Target="https://material-properties.org/polyamide-nylon-density-strength-melting-point-thermal-conductivity/" TargetMode="External"/><Relationship Id="rId2" Type="http://schemas.openxmlformats.org/officeDocument/2006/relationships/hyperlink" Target="https://www.researchgate.net/publication/366198601_Carbon_Footprint_of_Single-Use_Plastic_Items_and_Their_Substitution" TargetMode="External"/><Relationship Id="rId1" Type="http://schemas.openxmlformats.org/officeDocument/2006/relationships/hyperlink" Target="https://www.researchgate.net/publication/366198601_Carbon_Footprint_of_Single-Use_Plastic_Items_and_Their_Substitution" TargetMode="External"/><Relationship Id="rId6" Type="http://schemas.openxmlformats.org/officeDocument/2006/relationships/hyperlink" Target="https://doi.org/10.3390/su11216000" TargetMode="External"/><Relationship Id="rId11" Type="http://schemas.openxmlformats.org/officeDocument/2006/relationships/hyperlink" Target="https://matmake.com/materials-data/polyurethane-properties.html" TargetMode="External"/><Relationship Id="rId5" Type="http://schemas.openxmlformats.org/officeDocument/2006/relationships/hyperlink" Target="https://doi.org/10.1007/BF02978888" TargetMode="External"/><Relationship Id="rId10" Type="http://schemas.openxmlformats.org/officeDocument/2006/relationships/hyperlink" Target="https://materials.fsri.org/materialdetail/polypropylene-pp" TargetMode="External"/><Relationship Id="rId4" Type="http://schemas.openxmlformats.org/officeDocument/2006/relationships/hyperlink" Target="https://www.sciencedirect.com/science/article/pii/S0921344923003038" TargetMode="External"/><Relationship Id="rId9" Type="http://schemas.openxmlformats.org/officeDocument/2006/relationships/hyperlink" Target="https://material-properties.org/pet-density-strength-melting-point-thermal-conductivit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W104"/>
  <sheetViews>
    <sheetView zoomScaleNormal="100" workbookViewId="0">
      <selection activeCell="B14" sqref="B14"/>
    </sheetView>
  </sheetViews>
  <sheetFormatPr defaultColWidth="10.85546875" defaultRowHeight="15" x14ac:dyDescent="0.25"/>
  <cols>
    <col min="1" max="1" width="30.140625" customWidth="1"/>
    <col min="2" max="2" width="85.85546875" customWidth="1"/>
    <col min="3" max="3" width="13" bestFit="1" customWidth="1"/>
    <col min="4" max="4" width="5.5703125" bestFit="1" customWidth="1"/>
    <col min="5" max="5" width="7.28515625" bestFit="1" customWidth="1"/>
    <col min="6" max="6" width="9" bestFit="1" customWidth="1"/>
  </cols>
  <sheetData>
    <row r="1" spans="1:23" s="1" customFormat="1" x14ac:dyDescent="0.25"/>
    <row r="2" spans="1:23" s="1" customFormat="1" x14ac:dyDescent="0.25"/>
    <row r="3" spans="1:23" s="1" customFormat="1" ht="23.25" x14ac:dyDescent="0.35">
      <c r="A3" s="12"/>
      <c r="B3" s="56" t="s">
        <v>0</v>
      </c>
    </row>
    <row r="4" spans="1:23" ht="15" customHeight="1" x14ac:dyDescent="0.3">
      <c r="A4" s="1"/>
      <c r="B4" s="1"/>
      <c r="C4" s="1"/>
      <c r="D4" s="1"/>
      <c r="E4" s="1"/>
      <c r="F4" s="1"/>
      <c r="G4" s="11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18.75" x14ac:dyDescent="0.3">
      <c r="A5" s="158" t="s">
        <v>1</v>
      </c>
      <c r="B5" s="159"/>
      <c r="C5" s="1"/>
      <c r="D5" s="1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8.75" x14ac:dyDescent="0.3">
      <c r="A6" s="160"/>
      <c r="B6" s="161"/>
      <c r="C6" s="1"/>
      <c r="D6" s="1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21" x14ac:dyDescent="0.25">
      <c r="A7" s="162" t="s">
        <v>2</v>
      </c>
      <c r="B7" s="163" t="s">
        <v>3</v>
      </c>
      <c r="C7" s="1"/>
      <c r="D7" s="1"/>
      <c r="E7" s="1"/>
      <c r="F7" s="1"/>
      <c r="G7" s="1"/>
      <c r="H7" s="1"/>
      <c r="I7" s="164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21" x14ac:dyDescent="0.25">
      <c r="A8" s="162" t="s">
        <v>4</v>
      </c>
      <c r="B8" s="165"/>
      <c r="C8" s="1"/>
      <c r="D8" s="1"/>
      <c r="E8" s="1"/>
      <c r="F8" s="1"/>
      <c r="G8" s="1"/>
      <c r="H8" s="1"/>
      <c r="I8" s="164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5.75" x14ac:dyDescent="0.25">
      <c r="A9" s="162" t="s">
        <v>5</v>
      </c>
      <c r="B9" s="163"/>
      <c r="C9" s="1"/>
      <c r="D9" s="1"/>
      <c r="E9" s="1"/>
      <c r="F9" s="1"/>
      <c r="G9" s="1"/>
      <c r="H9" s="1"/>
      <c r="I9" s="166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8.75" x14ac:dyDescent="0.25">
      <c r="A10" s="162"/>
      <c r="B10" s="28"/>
      <c r="C10" s="1"/>
      <c r="D10" s="1"/>
      <c r="E10" s="1"/>
      <c r="F10" s="1"/>
      <c r="G10" s="1"/>
      <c r="H10" s="1"/>
      <c r="I10" s="167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ht="18.75" x14ac:dyDescent="0.25">
      <c r="A11" s="158" t="s">
        <v>6</v>
      </c>
      <c r="B11" s="159"/>
      <c r="C11" s="1"/>
      <c r="D11" s="1"/>
      <c r="E11" s="1"/>
      <c r="F11" s="1"/>
      <c r="G11" s="1"/>
      <c r="H11" s="1"/>
      <c r="I11" s="167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ht="18.75" x14ac:dyDescent="0.25">
      <c r="A12" s="160"/>
      <c r="B12" s="161"/>
      <c r="C12" s="1"/>
      <c r="D12" s="1"/>
      <c r="E12" s="1"/>
      <c r="F12" s="1"/>
      <c r="G12" s="1"/>
      <c r="H12" s="1"/>
      <c r="I12" s="16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18.75" x14ac:dyDescent="0.25">
      <c r="A13" s="168" t="s">
        <v>7</v>
      </c>
      <c r="B13" s="14"/>
      <c r="C13" s="1"/>
      <c r="D13" s="1"/>
      <c r="E13" s="1"/>
      <c r="F13" s="1"/>
      <c r="G13" s="1"/>
      <c r="H13" s="1"/>
      <c r="I13" s="16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18.75" x14ac:dyDescent="0.3">
      <c r="A14" s="1" t="s">
        <v>8</v>
      </c>
      <c r="B14" s="24" t="s">
        <v>9</v>
      </c>
      <c r="C14" s="1"/>
      <c r="D14" s="1"/>
      <c r="E14" s="1"/>
      <c r="F14" s="1"/>
      <c r="G14" s="1"/>
      <c r="H14" s="1"/>
      <c r="I14" s="5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15" customHeight="1" x14ac:dyDescent="0.25">
      <c r="A15" s="5"/>
      <c r="B15" s="1"/>
      <c r="C15" s="1"/>
      <c r="D15" s="1"/>
      <c r="E15" s="1"/>
      <c r="F15" s="1"/>
      <c r="G15" s="1"/>
      <c r="H15" s="1"/>
      <c r="I15" s="167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18.75" x14ac:dyDescent="0.25">
      <c r="A16" s="158" t="s">
        <v>10</v>
      </c>
      <c r="B16" s="159"/>
      <c r="C16" s="1"/>
      <c r="D16" s="1"/>
      <c r="E16" s="1"/>
      <c r="F16" s="1"/>
      <c r="G16" s="1"/>
      <c r="H16" s="1"/>
      <c r="I16" s="16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18.75" x14ac:dyDescent="0.25">
      <c r="A17" s="160"/>
      <c r="B17" s="161"/>
      <c r="C17" s="1"/>
      <c r="D17" s="1"/>
      <c r="E17" s="1"/>
      <c r="F17" s="1"/>
      <c r="G17" s="1"/>
      <c r="H17" s="1"/>
      <c r="I17" s="167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s="193" customFormat="1" ht="18.75" x14ac:dyDescent="0.25">
      <c r="A18" s="190" t="s">
        <v>11</v>
      </c>
      <c r="B18" s="191" t="s">
        <v>12</v>
      </c>
      <c r="C18" s="178"/>
      <c r="D18" s="178"/>
      <c r="E18" s="178"/>
      <c r="F18" s="178"/>
      <c r="G18" s="178"/>
      <c r="H18" s="178"/>
      <c r="I18" s="192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</row>
    <row r="19" spans="1:23" s="193" customFormat="1" ht="18.75" x14ac:dyDescent="0.3">
      <c r="A19" s="178" t="s">
        <v>13</v>
      </c>
      <c r="B19" s="194" t="s">
        <v>14</v>
      </c>
      <c r="C19" s="178"/>
      <c r="D19" s="178"/>
      <c r="E19" s="178"/>
      <c r="F19" s="178"/>
      <c r="G19" s="178"/>
      <c r="H19" s="178"/>
      <c r="I19" s="195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</row>
    <row r="20" spans="1:23" ht="15" customHeight="1" x14ac:dyDescent="0.25">
      <c r="A20" s="5"/>
      <c r="B20" s="1"/>
      <c r="C20" s="1"/>
      <c r="D20" s="1"/>
      <c r="E20" s="1"/>
      <c r="F20" s="1"/>
      <c r="G20" s="1"/>
      <c r="H20" s="1"/>
      <c r="I20" s="167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217" t="s">
        <v>15</v>
      </c>
      <c r="B21" s="6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71"/>
      <c r="B22" s="7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65" t="s">
        <v>16</v>
      </c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 t="s">
        <v>17</v>
      </c>
      <c r="B24" s="6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 t="s">
        <v>18</v>
      </c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72"/>
      <c r="B26" s="7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65" t="s">
        <v>19</v>
      </c>
      <c r="B27" s="6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 t="s">
        <v>20</v>
      </c>
      <c r="B28" s="6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 t="s">
        <v>21</v>
      </c>
      <c r="B29" s="6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 t="s">
        <v>22</v>
      </c>
      <c r="B30" s="6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69"/>
      <c r="B31" s="7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65" t="s">
        <v>23</v>
      </c>
      <c r="B32" s="6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 t="s">
        <v>24</v>
      </c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 t="s">
        <v>25</v>
      </c>
      <c r="B34" s="6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 t="s">
        <v>26</v>
      </c>
      <c r="B35" s="6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73"/>
      <c r="B36" s="7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65" t="s">
        <v>27</v>
      </c>
      <c r="B37" s="6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67" t="s">
        <v>28</v>
      </c>
      <c r="B38" s="6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67" t="s">
        <v>29</v>
      </c>
      <c r="B39" s="6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67" t="s">
        <v>30</v>
      </c>
      <c r="B40" s="6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71"/>
      <c r="B41" s="7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1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10" customFormat="1" ht="15.75" customHeight="1" x14ac:dyDescent="0.25">
      <c r="A55" s="1"/>
      <c r="B55" s="1"/>
      <c r="C55" s="1"/>
      <c r="D55" s="1"/>
      <c r="E55" s="1"/>
      <c r="F55" s="1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s="10" customFormat="1" ht="15.75" x14ac:dyDescent="0.25">
      <c r="A56" s="1"/>
      <c r="B56" s="1"/>
      <c r="C56" s="1"/>
      <c r="D56" s="1"/>
      <c r="E56" s="1"/>
      <c r="F56" s="1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s="10" customFormat="1" ht="15.75" x14ac:dyDescent="0.25">
      <c r="A57" s="1"/>
      <c r="B57" s="1"/>
      <c r="C57" s="1"/>
      <c r="D57" s="1"/>
      <c r="E57" s="1"/>
      <c r="F57" s="1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s="10" customFormat="1" ht="15.75" x14ac:dyDescent="0.25">
      <c r="A58" s="8"/>
      <c r="B58" s="9"/>
      <c r="C58" s="9"/>
      <c r="D58" s="9"/>
      <c r="E58" s="9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 x14ac:dyDescent="0.25">
      <c r="A59" s="8"/>
      <c r="B59" s="8"/>
      <c r="C59" s="8"/>
      <c r="D59" s="8"/>
      <c r="E59" s="8"/>
      <c r="F59" s="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15.75" x14ac:dyDescent="0.25">
      <c r="A60" s="8"/>
      <c r="B60" s="8"/>
      <c r="C60" s="8"/>
      <c r="D60" s="8"/>
      <c r="E60" s="8"/>
      <c r="F60" s="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15.75" x14ac:dyDescent="0.25">
      <c r="A61" s="8"/>
      <c r="B61" s="8"/>
      <c r="C61" s="8"/>
      <c r="D61" s="8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18.75" x14ac:dyDescent="0.3">
      <c r="A65" s="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18.75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5">
      <c r="A102" s="1"/>
      <c r="B102" s="1"/>
      <c r="C102" s="1"/>
      <c r="D102" s="1"/>
      <c r="E102" s="1"/>
      <c r="F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5">
      <c r="A103" s="1"/>
      <c r="B103" s="1"/>
      <c r="C103" s="1"/>
      <c r="D103" s="1"/>
      <c r="E103" s="1"/>
      <c r="F103" s="1"/>
    </row>
    <row r="104" spans="1:23" x14ac:dyDescent="0.25">
      <c r="A104" s="1"/>
      <c r="B104" s="1"/>
      <c r="C104" s="1"/>
      <c r="D104" s="1"/>
      <c r="E104" s="1"/>
      <c r="F104" s="1"/>
    </row>
  </sheetData>
  <pageMargins left="0.7" right="0.7" top="0.78740157499999996" bottom="0.78740157499999996" header="0.3" footer="0.3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EE64-9F0A-46CF-BCD5-DCC9EEC8867A}">
  <sheetPr codeName="Tabelle5"/>
  <dimension ref="A1:X129"/>
  <sheetViews>
    <sheetView topLeftCell="A4" zoomScaleNormal="100" workbookViewId="0">
      <selection activeCell="B80" sqref="B80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386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44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385</v>
      </c>
      <c r="C15" s="13"/>
      <c r="D15" s="95">
        <v>2170.3000000000002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Households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387</v>
      </c>
      <c r="C79" s="82"/>
      <c r="D79" s="95">
        <v>425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Deposit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389</v>
      </c>
      <c r="C80" s="82"/>
      <c r="D80" s="95">
        <v>1198.7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Plastics in Different DS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388</v>
      </c>
      <c r="C81" s="87"/>
      <c r="D81" s="95">
        <v>538.1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Waste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5AA8-4760-44C6-92EF-BCBBF5158C73}">
  <dimension ref="A1:I66"/>
  <sheetViews>
    <sheetView topLeftCell="B1" zoomScaleNormal="100" workbookViewId="0">
      <selection activeCell="C9" sqref="C9"/>
    </sheetView>
  </sheetViews>
  <sheetFormatPr defaultRowHeight="15" x14ac:dyDescent="0.25"/>
  <cols>
    <col min="1" max="1" width="39.5703125" customWidth="1"/>
    <col min="2" max="2" width="58.5703125" customWidth="1"/>
    <col min="3" max="3" width="27" style="130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389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tr">
        <f>IF(Process_recycling_PP!B11="", "", Process_recycling_PP!B11)</f>
        <v/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44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64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65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138">
        <v>1198.7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138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138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138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294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294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63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390</v>
      </c>
      <c r="C16" s="262">
        <v>295.60000000000002</v>
      </c>
      <c r="D16" s="233" t="s">
        <v>374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26" t="s">
        <v>391</v>
      </c>
      <c r="C17" s="262">
        <v>199.5</v>
      </c>
      <c r="D17" s="233" t="s">
        <v>374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26" t="s">
        <v>394</v>
      </c>
      <c r="C18" s="262">
        <v>386</v>
      </c>
      <c r="D18" s="233" t="s">
        <v>374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26" t="s">
        <v>393</v>
      </c>
      <c r="C19" s="262">
        <v>197.9</v>
      </c>
      <c r="D19" s="233" t="s">
        <v>374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30" t="s">
        <v>395</v>
      </c>
      <c r="C20" s="262">
        <v>63</v>
      </c>
      <c r="D20" s="233" t="s">
        <v>374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30" t="s">
        <v>392</v>
      </c>
      <c r="C21" s="262">
        <v>56.7</v>
      </c>
      <c r="D21" s="233" t="s">
        <v>374</v>
      </c>
      <c r="E21" s="233"/>
      <c r="F21" s="233"/>
      <c r="G21" s="233"/>
      <c r="H21" s="233"/>
      <c r="I21" s="233"/>
    </row>
    <row r="22" spans="1:9" ht="15" customHeight="1" x14ac:dyDescent="0.25">
      <c r="A22" s="291"/>
      <c r="B22" s="230"/>
      <c r="C22" s="262"/>
      <c r="D22" s="233"/>
      <c r="E22" s="233"/>
      <c r="F22" s="233"/>
      <c r="G22" s="233"/>
      <c r="H22" s="233"/>
      <c r="I22" s="233"/>
    </row>
    <row r="23" spans="1:9" ht="15" customHeight="1" x14ac:dyDescent="0.25">
      <c r="A23" s="291"/>
      <c r="B23" s="230"/>
      <c r="C23" s="262"/>
      <c r="D23" s="233"/>
      <c r="E23" s="233"/>
      <c r="F23" s="233"/>
      <c r="G23" s="233"/>
      <c r="H23" s="233"/>
      <c r="I23" s="233"/>
    </row>
    <row r="24" spans="1:9" ht="15" customHeight="1" x14ac:dyDescent="0.25">
      <c r="A24" s="291"/>
      <c r="B24" s="230"/>
      <c r="C24" s="262"/>
      <c r="D24" s="233"/>
      <c r="E24" s="233"/>
      <c r="F24" s="233"/>
      <c r="G24" s="233"/>
      <c r="H24" s="233"/>
      <c r="I24" s="233"/>
    </row>
    <row r="25" spans="1:9" ht="15" customHeight="1" x14ac:dyDescent="0.25">
      <c r="A25" s="291"/>
      <c r="B25" s="230"/>
      <c r="C25" s="262"/>
      <c r="D25" s="233"/>
      <c r="E25" s="233"/>
      <c r="F25" s="233"/>
      <c r="G25" s="233"/>
      <c r="H25" s="233"/>
      <c r="I25" s="233"/>
    </row>
    <row r="26" spans="1:9" ht="15" customHeight="1" x14ac:dyDescent="0.25">
      <c r="A26" s="291"/>
      <c r="B26" s="230"/>
      <c r="C26" s="262"/>
      <c r="D26" s="233"/>
      <c r="E26" s="233"/>
      <c r="F26" s="233"/>
      <c r="G26" s="233"/>
      <c r="H26" s="233"/>
      <c r="I26" s="233"/>
    </row>
    <row r="27" spans="1:9" ht="15" customHeight="1" x14ac:dyDescent="0.25">
      <c r="A27" s="291"/>
      <c r="B27" s="230"/>
      <c r="C27" s="262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62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62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62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62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62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62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62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95"/>
      <c r="C35" s="262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95"/>
      <c r="C36" s="262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95"/>
      <c r="C37" s="262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95"/>
      <c r="C38" s="262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95"/>
      <c r="C39" s="262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95"/>
      <c r="C40" s="262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95"/>
      <c r="C41" s="262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95"/>
      <c r="C42" s="262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138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138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138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138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138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138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138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138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138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138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138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138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138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138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138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138" t="s">
        <v>160</v>
      </c>
      <c r="C58" s="138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C59" s="138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C60" s="138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C61" s="138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C62" s="138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C63" s="138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C64" s="138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C65" s="138"/>
      <c r="D65" s="95"/>
      <c r="E65" s="95"/>
      <c r="F65" s="95"/>
      <c r="G65" s="95"/>
      <c r="H65" s="95"/>
      <c r="I65" s="95"/>
    </row>
    <row r="66" spans="1:9" x14ac:dyDescent="0.25">
      <c r="A66" s="292"/>
      <c r="C66" s="138"/>
      <c r="D66" s="95"/>
      <c r="E66" s="95"/>
      <c r="F66" s="95"/>
      <c r="G66" s="95"/>
      <c r="H66" s="95"/>
      <c r="I66" s="95"/>
    </row>
  </sheetData>
  <mergeCells count="22">
    <mergeCell ref="E7:I7"/>
    <mergeCell ref="C1:I1"/>
    <mergeCell ref="C2:I2"/>
    <mergeCell ref="C3:I3"/>
    <mergeCell ref="C4:I4"/>
    <mergeCell ref="C5:I5"/>
    <mergeCell ref="A7:A12"/>
    <mergeCell ref="A2:A6"/>
    <mergeCell ref="I13:I14"/>
    <mergeCell ref="F13:F14"/>
    <mergeCell ref="G13:G14"/>
    <mergeCell ref="H13:H14"/>
    <mergeCell ref="A13:A66"/>
    <mergeCell ref="B13:B14"/>
    <mergeCell ref="C13:C14"/>
    <mergeCell ref="D13:D14"/>
    <mergeCell ref="E13:E14"/>
    <mergeCell ref="C6:I6"/>
    <mergeCell ref="E9:I9"/>
    <mergeCell ref="E10:I10"/>
    <mergeCell ref="E11:I11"/>
    <mergeCell ref="E12:I1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DF27-8A0B-4FAC-984C-649EB7428E85}">
  <sheetPr codeName="Tabelle3"/>
  <dimension ref="A1:X129"/>
  <sheetViews>
    <sheetView topLeftCell="A61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389</v>
      </c>
      <c r="C15" s="13"/>
      <c r="D15" s="95">
        <v>1198.7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Different 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379</v>
      </c>
      <c r="C79" s="82"/>
      <c r="D79" s="95">
        <v>419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Mixed Plastics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396</v>
      </c>
      <c r="C80" s="82"/>
      <c r="D80" s="95">
        <v>186.2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PP-flow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397</v>
      </c>
      <c r="C81" s="87"/>
      <c r="D81" s="95">
        <v>38.9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PS-flow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 t="s">
        <v>398</v>
      </c>
      <c r="C82" s="87"/>
      <c r="D82" s="268">
        <v>147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>PET-flow</v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 t="s">
        <v>399</v>
      </c>
      <c r="C83" s="97"/>
      <c r="D83" s="98">
        <v>104.9</v>
      </c>
      <c r="E83" s="99" t="s">
        <v>374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>HDPE-flow</v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 t="s">
        <v>400</v>
      </c>
      <c r="C84" s="97"/>
      <c r="D84" s="98">
        <v>302.7</v>
      </c>
      <c r="E84" s="99" t="s">
        <v>374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>Film-flow</v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864B-1EB3-426B-B44B-8E3A6C17F26D}">
  <dimension ref="A1:I66"/>
  <sheetViews>
    <sheetView zoomScaleNormal="100" workbookViewId="0">
      <selection activeCell="B17" sqref="B17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379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484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419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494</v>
      </c>
      <c r="C16" s="276" t="s">
        <v>485</v>
      </c>
      <c r="D16" s="233"/>
      <c r="E16" s="233"/>
      <c r="F16" s="233"/>
      <c r="G16" s="233"/>
      <c r="H16" s="233"/>
      <c r="I16" s="233"/>
    </row>
    <row r="17" spans="1:9" ht="15" customHeight="1" x14ac:dyDescent="0.25">
      <c r="A17" s="291"/>
      <c r="B17" s="235" t="s">
        <v>487</v>
      </c>
      <c r="C17" s="276" t="s">
        <v>486</v>
      </c>
      <c r="D17" s="233"/>
      <c r="E17" s="233"/>
      <c r="F17" s="233"/>
      <c r="G17" s="233"/>
      <c r="H17" s="233"/>
      <c r="I17" s="233"/>
    </row>
    <row r="18" spans="1:9" ht="15" customHeight="1" x14ac:dyDescent="0.25">
      <c r="A18" s="291"/>
      <c r="B18" s="226" t="s">
        <v>488</v>
      </c>
      <c r="C18" s="276" t="s">
        <v>493</v>
      </c>
      <c r="D18" s="233"/>
      <c r="E18" s="233"/>
      <c r="F18" s="233"/>
      <c r="G18" s="233"/>
      <c r="H18" s="233"/>
      <c r="I18" s="233"/>
    </row>
    <row r="19" spans="1:9" ht="15" customHeight="1" x14ac:dyDescent="0.25">
      <c r="A19" s="291"/>
      <c r="B19" s="226" t="s">
        <v>489</v>
      </c>
      <c r="C19" s="276" t="s">
        <v>492</v>
      </c>
      <c r="D19" s="233"/>
      <c r="E19" s="233"/>
      <c r="F19" s="233"/>
      <c r="G19" s="233"/>
      <c r="H19" s="233"/>
      <c r="I19" s="233"/>
    </row>
    <row r="20" spans="1:9" ht="15" customHeight="1" x14ac:dyDescent="0.25">
      <c r="A20" s="291"/>
      <c r="B20" s="226" t="s">
        <v>490</v>
      </c>
      <c r="C20" s="276" t="s">
        <v>491</v>
      </c>
      <c r="D20" s="233"/>
      <c r="E20" s="233"/>
      <c r="F20" s="233"/>
      <c r="G20" s="233"/>
      <c r="H20" s="233"/>
      <c r="I20" s="233"/>
    </row>
    <row r="21" spans="1:9" ht="15" customHeight="1" x14ac:dyDescent="0.25">
      <c r="A21" s="291"/>
      <c r="B21" s="226"/>
      <c r="C21" s="276"/>
      <c r="D21" s="233"/>
      <c r="E21" s="233"/>
      <c r="F21" s="233"/>
      <c r="G21" s="233"/>
      <c r="H21" s="233"/>
      <c r="I21" s="233"/>
    </row>
    <row r="22" spans="1:9" ht="15" customHeight="1" x14ac:dyDescent="0.25">
      <c r="A22" s="291"/>
      <c r="B22" s="226"/>
      <c r="C22" s="276"/>
      <c r="D22" s="233"/>
      <c r="E22" s="233"/>
      <c r="F22" s="233"/>
      <c r="G22" s="233"/>
      <c r="H22" s="233"/>
      <c r="I22" s="233"/>
    </row>
    <row r="23" spans="1:9" ht="15" customHeight="1" x14ac:dyDescent="0.25">
      <c r="A23" s="291"/>
      <c r="B23" s="226"/>
      <c r="C23" s="276"/>
      <c r="D23" s="233"/>
      <c r="E23" s="233"/>
      <c r="F23" s="233"/>
      <c r="G23" s="233"/>
      <c r="H23" s="233"/>
      <c r="I23" s="233"/>
    </row>
    <row r="24" spans="1:9" ht="15" customHeight="1" x14ac:dyDescent="0.25">
      <c r="A24" s="291"/>
      <c r="B24" s="226"/>
      <c r="C24" s="276"/>
      <c r="D24" s="233"/>
      <c r="E24" s="233"/>
      <c r="F24" s="233"/>
      <c r="G24" s="233"/>
      <c r="H24" s="233"/>
      <c r="I24" s="233"/>
    </row>
    <row r="25" spans="1:9" ht="15" customHeight="1" x14ac:dyDescent="0.25">
      <c r="A25" s="291"/>
      <c r="B25" s="226"/>
      <c r="C25" s="276"/>
      <c r="D25" s="233"/>
      <c r="E25" s="233"/>
      <c r="F25" s="233"/>
      <c r="G25" s="233"/>
      <c r="H25" s="233"/>
      <c r="I25" s="233"/>
    </row>
    <row r="26" spans="1:9" ht="15" customHeight="1" x14ac:dyDescent="0.25">
      <c r="A26" s="291"/>
      <c r="B26" s="226"/>
      <c r="C26" s="276"/>
      <c r="D26" s="233"/>
      <c r="E26" s="233"/>
      <c r="F26" s="233"/>
      <c r="G26" s="233"/>
      <c r="H26" s="233"/>
      <c r="I26" s="233"/>
    </row>
    <row r="27" spans="1:9" ht="15" customHeight="1" x14ac:dyDescent="0.25">
      <c r="A27" s="291"/>
      <c r="B27" s="226"/>
      <c r="C27" s="276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76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F6C81-6DF8-4A94-8A2D-98FA0B227B1B}">
  <sheetPr codeName="Tabelle4"/>
  <dimension ref="A1:X129"/>
  <sheetViews>
    <sheetView topLeftCell="A16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404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396</v>
      </c>
      <c r="C15" s="13" t="s">
        <v>401</v>
      </c>
      <c r="D15" s="95">
        <v>186.2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402</v>
      </c>
      <c r="C79" s="82"/>
      <c r="D79" s="95">
        <v>106.9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PP in PP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403</v>
      </c>
      <c r="C80" s="82"/>
      <c r="D80" s="95">
        <v>79.3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ED5D-2A74-41C8-9289-99FA8F185F3E}">
  <dimension ref="A1:I66"/>
  <sheetViews>
    <sheetView zoomScaleNormal="100" workbookViewId="0">
      <selection activeCell="B18" sqref="B18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402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457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100.7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456</v>
      </c>
      <c r="C16" s="276">
        <v>21.2</v>
      </c>
      <c r="D16" s="233" t="s">
        <v>384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35" t="s">
        <v>459</v>
      </c>
      <c r="C17" s="276">
        <v>10.3</v>
      </c>
      <c r="D17" s="233" t="s">
        <v>384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26" t="s">
        <v>460</v>
      </c>
      <c r="C18" s="276">
        <v>1.1000000000000001</v>
      </c>
      <c r="D18" s="233" t="s">
        <v>384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26" t="s">
        <v>461</v>
      </c>
      <c r="C19" s="276">
        <v>12.1</v>
      </c>
      <c r="D19" s="233" t="s">
        <v>384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26" t="s">
        <v>462</v>
      </c>
      <c r="C20" s="276">
        <v>3.8</v>
      </c>
      <c r="D20" s="233" t="s">
        <v>384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26" t="s">
        <v>463</v>
      </c>
      <c r="C21" s="276">
        <v>2</v>
      </c>
      <c r="D21" s="233" t="s">
        <v>384</v>
      </c>
      <c r="E21" s="233"/>
      <c r="F21" s="233"/>
      <c r="G21" s="233"/>
      <c r="H21" s="233"/>
      <c r="I21" s="233"/>
    </row>
    <row r="22" spans="1:9" ht="15" customHeight="1" x14ac:dyDescent="0.25">
      <c r="A22" s="291"/>
      <c r="B22" s="226" t="s">
        <v>464</v>
      </c>
      <c r="C22" s="276">
        <v>2</v>
      </c>
      <c r="D22" s="233" t="s">
        <v>384</v>
      </c>
      <c r="E22" s="233"/>
      <c r="F22" s="233"/>
      <c r="G22" s="233"/>
      <c r="H22" s="233"/>
      <c r="I22" s="233"/>
    </row>
    <row r="23" spans="1:9" ht="15" customHeight="1" x14ac:dyDescent="0.25">
      <c r="A23" s="291"/>
      <c r="B23" s="226" t="s">
        <v>465</v>
      </c>
      <c r="C23" s="276">
        <v>5.3</v>
      </c>
      <c r="D23" s="233" t="s">
        <v>384</v>
      </c>
      <c r="E23" s="233"/>
      <c r="F23" s="233"/>
      <c r="G23" s="233"/>
      <c r="H23" s="233"/>
      <c r="I23" s="233"/>
    </row>
    <row r="24" spans="1:9" ht="15" customHeight="1" x14ac:dyDescent="0.25">
      <c r="A24" s="291"/>
      <c r="B24" s="226" t="s">
        <v>466</v>
      </c>
      <c r="C24" s="276">
        <v>17</v>
      </c>
      <c r="D24" s="233" t="s">
        <v>384</v>
      </c>
      <c r="E24" s="233"/>
      <c r="F24" s="233"/>
      <c r="G24" s="233"/>
      <c r="H24" s="233"/>
      <c r="I24" s="233"/>
    </row>
    <row r="25" spans="1:9" ht="15" customHeight="1" x14ac:dyDescent="0.25">
      <c r="A25" s="291"/>
      <c r="B25" s="226" t="s">
        <v>467</v>
      </c>
      <c r="C25" s="276">
        <v>1.3</v>
      </c>
      <c r="D25" s="233" t="s">
        <v>384</v>
      </c>
      <c r="E25" s="233"/>
      <c r="F25" s="233"/>
      <c r="G25" s="233"/>
      <c r="H25" s="233"/>
      <c r="I25" s="233"/>
    </row>
    <row r="26" spans="1:9" ht="15" customHeight="1" x14ac:dyDescent="0.25">
      <c r="A26" s="291"/>
      <c r="B26" s="226" t="s">
        <v>468</v>
      </c>
      <c r="C26" s="276">
        <v>1.2</v>
      </c>
      <c r="D26" s="233" t="s">
        <v>384</v>
      </c>
      <c r="E26" s="233"/>
      <c r="F26" s="233"/>
      <c r="G26" s="233"/>
      <c r="H26" s="233"/>
      <c r="I26" s="233"/>
    </row>
    <row r="27" spans="1:9" ht="15" customHeight="1" x14ac:dyDescent="0.25">
      <c r="A27" s="291"/>
      <c r="B27" s="226" t="s">
        <v>469</v>
      </c>
      <c r="C27" s="276">
        <v>4.7</v>
      </c>
      <c r="D27" s="233" t="s">
        <v>384</v>
      </c>
      <c r="E27" s="233"/>
      <c r="F27" s="233"/>
      <c r="G27" s="233"/>
      <c r="H27" s="233"/>
      <c r="I27" s="233"/>
    </row>
    <row r="28" spans="1:9" ht="15" customHeight="1" x14ac:dyDescent="0.25">
      <c r="A28" s="291"/>
      <c r="B28" s="230" t="s">
        <v>470</v>
      </c>
      <c r="C28" s="276" t="s">
        <v>471</v>
      </c>
      <c r="D28" s="233" t="s">
        <v>384</v>
      </c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916D-4AFB-4A90-9642-95122AF1705D}">
  <sheetPr codeName="Tabelle6"/>
  <dimension ref="A1:X129"/>
  <sheetViews>
    <sheetView topLeftCell="A67" zoomScaleNormal="100" workbookViewId="0">
      <selection activeCell="E87" sqref="E8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397</v>
      </c>
      <c r="C15" s="13" t="s">
        <v>407</v>
      </c>
      <c r="D15" s="95">
        <v>186.2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408</v>
      </c>
      <c r="C79" s="82"/>
      <c r="D79" s="95">
        <v>13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PS in PS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409</v>
      </c>
      <c r="C80" s="82"/>
      <c r="D80" s="95">
        <v>26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PS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17F3-9A2F-469D-A2D0-653F27AA43D0}">
  <dimension ref="A1:I66"/>
  <sheetViews>
    <sheetView zoomScaleNormal="100" workbookViewId="0">
      <selection activeCell="D26" sqref="D26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408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472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100.7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459</v>
      </c>
      <c r="C16" s="276">
        <v>1.9</v>
      </c>
      <c r="D16" s="233" t="s">
        <v>384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35" t="s">
        <v>473</v>
      </c>
      <c r="C17" s="276">
        <v>42.5</v>
      </c>
      <c r="D17" s="233" t="s">
        <v>384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26" t="s">
        <v>474</v>
      </c>
      <c r="C18" s="276">
        <v>1.2</v>
      </c>
      <c r="D18" s="233" t="s">
        <v>384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26" t="s">
        <v>461</v>
      </c>
      <c r="C19" s="276">
        <v>12.1</v>
      </c>
      <c r="D19" s="233" t="s">
        <v>384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26" t="s">
        <v>463</v>
      </c>
      <c r="C20" s="276">
        <v>1.7</v>
      </c>
      <c r="D20" s="233" t="s">
        <v>384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26" t="s">
        <v>466</v>
      </c>
      <c r="C21" s="276">
        <v>32.700000000000003</v>
      </c>
      <c r="D21" s="233" t="s">
        <v>384</v>
      </c>
      <c r="E21" s="233"/>
      <c r="F21" s="233"/>
      <c r="G21" s="233"/>
      <c r="H21" s="233"/>
      <c r="I21" s="233"/>
    </row>
    <row r="22" spans="1:9" ht="15" customHeight="1" x14ac:dyDescent="0.25">
      <c r="A22" s="291"/>
      <c r="B22" s="226" t="s">
        <v>469</v>
      </c>
      <c r="C22" s="276">
        <v>2.9</v>
      </c>
      <c r="D22" s="233" t="s">
        <v>384</v>
      </c>
      <c r="E22" s="233"/>
      <c r="F22" s="233"/>
      <c r="G22" s="233"/>
      <c r="H22" s="233"/>
      <c r="I22" s="233"/>
    </row>
    <row r="23" spans="1:9" ht="15" customHeight="1" x14ac:dyDescent="0.25">
      <c r="A23" s="291"/>
      <c r="B23" s="226" t="s">
        <v>470</v>
      </c>
      <c r="C23" s="276" t="s">
        <v>475</v>
      </c>
      <c r="D23" s="233" t="s">
        <v>384</v>
      </c>
      <c r="E23" s="233"/>
      <c r="F23" s="233"/>
      <c r="G23" s="233"/>
      <c r="H23" s="233"/>
      <c r="I23" s="233"/>
    </row>
    <row r="24" spans="1:9" ht="15" customHeight="1" x14ac:dyDescent="0.25">
      <c r="A24" s="291"/>
      <c r="B24" s="226"/>
      <c r="C24" s="276"/>
      <c r="D24" s="233"/>
      <c r="E24" s="233"/>
      <c r="F24" s="233"/>
      <c r="G24" s="233"/>
      <c r="H24" s="233"/>
      <c r="I24" s="233"/>
    </row>
    <row r="25" spans="1:9" ht="15" customHeight="1" x14ac:dyDescent="0.25">
      <c r="A25" s="291"/>
      <c r="B25" s="226"/>
      <c r="C25" s="276"/>
      <c r="D25" s="233"/>
      <c r="E25" s="233"/>
      <c r="F25" s="233"/>
      <c r="G25" s="233"/>
      <c r="H25" s="233"/>
      <c r="I25" s="233"/>
    </row>
    <row r="26" spans="1:9" ht="15" customHeight="1" x14ac:dyDescent="0.25">
      <c r="A26" s="291"/>
      <c r="B26" s="226"/>
      <c r="C26" s="276"/>
      <c r="D26" s="233"/>
      <c r="E26" s="233"/>
      <c r="F26" s="233"/>
      <c r="G26" s="233"/>
      <c r="H26" s="233"/>
      <c r="I26" s="233"/>
    </row>
    <row r="27" spans="1:9" ht="15" customHeight="1" x14ac:dyDescent="0.25">
      <c r="A27" s="291"/>
      <c r="B27" s="226"/>
      <c r="C27" s="276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76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32C5B-3A51-48DA-A1F1-6C5464F3D8C4}">
  <sheetPr codeName="Tabelle7"/>
  <dimension ref="A1:X129"/>
  <sheetViews>
    <sheetView topLeftCell="A61" zoomScaleNormal="100" workbookViewId="0">
      <selection activeCell="D79" sqref="D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411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398</v>
      </c>
      <c r="C15" s="13" t="s">
        <v>412</v>
      </c>
      <c r="D15" s="95">
        <v>147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413</v>
      </c>
      <c r="C79" s="82"/>
      <c r="D79" s="95">
        <v>59.5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in PET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410</v>
      </c>
      <c r="C80" s="82"/>
      <c r="D80" s="95">
        <v>87.5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PET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2E35C-4F93-40EC-B74F-C61E30C64906}">
  <dimension ref="A1:I66"/>
  <sheetViews>
    <sheetView topLeftCell="A14" zoomScaleNormal="100" workbookViewId="0">
      <selection activeCell="C40" sqref="C4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413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476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59.5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381</v>
      </c>
      <c r="C16" s="276">
        <v>19.100000000000001</v>
      </c>
      <c r="D16" s="233" t="s">
        <v>384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35" t="s">
        <v>382</v>
      </c>
      <c r="C17" s="276">
        <v>5.2</v>
      </c>
      <c r="D17" s="233" t="s">
        <v>384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26" t="s">
        <v>458</v>
      </c>
      <c r="C18" s="276">
        <v>17.5</v>
      </c>
      <c r="D18" s="233" t="s">
        <v>384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26" t="s">
        <v>477</v>
      </c>
      <c r="C19" s="276">
        <v>15.8</v>
      </c>
      <c r="D19" s="233" t="s">
        <v>384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26" t="s">
        <v>478</v>
      </c>
      <c r="C20" s="276">
        <v>17</v>
      </c>
      <c r="D20" s="233" t="s">
        <v>384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26" t="s">
        <v>463</v>
      </c>
      <c r="C21" s="276">
        <v>1.6</v>
      </c>
      <c r="D21" s="233" t="s">
        <v>384</v>
      </c>
      <c r="E21" s="233"/>
      <c r="F21" s="233"/>
      <c r="G21" s="233"/>
      <c r="H21" s="233"/>
      <c r="I21" s="233"/>
    </row>
    <row r="22" spans="1:9" ht="15" customHeight="1" x14ac:dyDescent="0.25">
      <c r="A22" s="291"/>
      <c r="B22" s="226" t="s">
        <v>465</v>
      </c>
      <c r="C22" s="276">
        <v>1.5</v>
      </c>
      <c r="D22" s="233" t="s">
        <v>384</v>
      </c>
      <c r="E22" s="233"/>
      <c r="F22" s="233"/>
      <c r="G22" s="233"/>
      <c r="H22" s="233"/>
      <c r="I22" s="233"/>
    </row>
    <row r="23" spans="1:9" ht="15" customHeight="1" x14ac:dyDescent="0.25">
      <c r="A23" s="291"/>
      <c r="B23" s="226" t="s">
        <v>466</v>
      </c>
      <c r="C23" s="276">
        <v>2.4</v>
      </c>
      <c r="D23" s="233" t="s">
        <v>384</v>
      </c>
      <c r="E23" s="233"/>
      <c r="F23" s="233"/>
      <c r="G23" s="233"/>
      <c r="H23" s="233"/>
      <c r="I23" s="233"/>
    </row>
    <row r="24" spans="1:9" ht="15" customHeight="1" x14ac:dyDescent="0.25">
      <c r="A24" s="291"/>
      <c r="B24" s="226" t="s">
        <v>467</v>
      </c>
      <c r="C24" s="276">
        <v>2.1</v>
      </c>
      <c r="D24" s="233" t="s">
        <v>384</v>
      </c>
      <c r="E24" s="233"/>
      <c r="F24" s="233"/>
      <c r="G24" s="233"/>
      <c r="H24" s="233"/>
      <c r="I24" s="233"/>
    </row>
    <row r="25" spans="1:9" ht="15" customHeight="1" x14ac:dyDescent="0.25">
      <c r="A25" s="291"/>
      <c r="B25" s="226" t="s">
        <v>469</v>
      </c>
      <c r="C25" s="276">
        <v>1.8</v>
      </c>
      <c r="D25" s="233" t="s">
        <v>384</v>
      </c>
      <c r="E25" s="233"/>
      <c r="F25" s="233"/>
      <c r="G25" s="233"/>
      <c r="H25" s="233"/>
      <c r="I25" s="233"/>
    </row>
    <row r="26" spans="1:9" ht="15" customHeight="1" x14ac:dyDescent="0.25">
      <c r="A26" s="291"/>
      <c r="B26" s="226" t="s">
        <v>470</v>
      </c>
      <c r="C26" s="276" t="s">
        <v>479</v>
      </c>
      <c r="D26" s="233" t="s">
        <v>384</v>
      </c>
      <c r="E26" s="233"/>
      <c r="F26" s="233"/>
      <c r="G26" s="233"/>
      <c r="H26" s="233"/>
      <c r="I26" s="233"/>
    </row>
    <row r="27" spans="1:9" ht="15" customHeight="1" x14ac:dyDescent="0.25">
      <c r="A27" s="291"/>
      <c r="B27" s="226"/>
      <c r="C27" s="276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76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21B1-CD72-434E-B2A1-3EE608B1C253}">
  <sheetPr codeName="Tabelle8"/>
  <dimension ref="A1:X129"/>
  <sheetViews>
    <sheetView topLeftCell="A67" zoomScaleNormal="100" workbookViewId="0">
      <selection activeCell="D97" sqref="D9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417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399</v>
      </c>
      <c r="C15" s="13" t="s">
        <v>416</v>
      </c>
      <c r="D15" s="95">
        <v>104.9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414</v>
      </c>
      <c r="C79" s="82"/>
      <c r="D79" s="95">
        <v>30.4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HDPE in HDPE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415</v>
      </c>
      <c r="C80" s="82"/>
      <c r="D80" s="95">
        <v>74.599999999999994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HDPE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C3D4-CCA2-4226-BFE2-CE0CE6DAE656}">
  <dimension ref="A1:I66"/>
  <sheetViews>
    <sheetView topLeftCell="A4" zoomScaleNormal="100" workbookViewId="0">
      <selection activeCell="F20" sqref="F2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414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482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30.4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383</v>
      </c>
      <c r="C16" s="276">
        <v>6.4</v>
      </c>
      <c r="D16" s="233" t="s">
        <v>384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30" t="s">
        <v>460</v>
      </c>
      <c r="C17" s="276">
        <v>62.6</v>
      </c>
      <c r="D17" s="233" t="s">
        <v>384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30" t="s">
        <v>463</v>
      </c>
      <c r="C18" s="276">
        <v>2.2999999999999998</v>
      </c>
      <c r="D18" s="233" t="s">
        <v>384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30" t="s">
        <v>465</v>
      </c>
      <c r="C19" s="276">
        <v>2.5</v>
      </c>
      <c r="D19" s="233" t="s">
        <v>384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30" t="s">
        <v>466</v>
      </c>
      <c r="C20" s="276">
        <v>12.4</v>
      </c>
      <c r="D20" s="233" t="s">
        <v>384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30" t="s">
        <v>467</v>
      </c>
      <c r="C21" s="276">
        <v>1.1000000000000001</v>
      </c>
      <c r="D21" s="233" t="s">
        <v>384</v>
      </c>
      <c r="E21" s="233"/>
      <c r="F21" s="233"/>
      <c r="G21" s="233"/>
      <c r="H21" s="233"/>
      <c r="I21" s="233"/>
    </row>
    <row r="22" spans="1:9" ht="15" customHeight="1" x14ac:dyDescent="0.25">
      <c r="A22" s="291"/>
      <c r="B22" s="230" t="s">
        <v>469</v>
      </c>
      <c r="C22" s="276">
        <v>2.5</v>
      </c>
      <c r="D22" s="233" t="s">
        <v>384</v>
      </c>
      <c r="E22" s="233"/>
      <c r="F22" s="233"/>
      <c r="G22" s="233"/>
      <c r="H22" s="233"/>
      <c r="I22" s="233"/>
    </row>
    <row r="23" spans="1:9" ht="15" customHeight="1" x14ac:dyDescent="0.25">
      <c r="A23" s="291"/>
      <c r="B23" s="230" t="s">
        <v>470</v>
      </c>
      <c r="C23" s="276" t="s">
        <v>483</v>
      </c>
      <c r="D23" s="233" t="s">
        <v>384</v>
      </c>
      <c r="E23" s="233"/>
      <c r="F23" s="233"/>
      <c r="G23" s="233"/>
      <c r="H23" s="233"/>
      <c r="I23" s="233"/>
    </row>
    <row r="24" spans="1:9" ht="15" customHeight="1" x14ac:dyDescent="0.25">
      <c r="A24" s="291"/>
      <c r="B24" s="230"/>
      <c r="C24" s="276"/>
      <c r="D24" s="233"/>
      <c r="E24" s="233"/>
      <c r="F24" s="233"/>
      <c r="G24" s="233"/>
      <c r="H24" s="233"/>
      <c r="I24" s="233"/>
    </row>
    <row r="25" spans="1:9" ht="15" customHeight="1" x14ac:dyDescent="0.25">
      <c r="A25" s="291"/>
      <c r="B25" s="230"/>
      <c r="C25" s="276"/>
      <c r="D25" s="233"/>
      <c r="E25" s="233"/>
      <c r="F25" s="233"/>
      <c r="G25" s="233"/>
      <c r="H25" s="233"/>
      <c r="I25" s="233"/>
    </row>
    <row r="26" spans="1:9" ht="15" customHeight="1" x14ac:dyDescent="0.25">
      <c r="A26" s="291"/>
      <c r="B26" s="230"/>
      <c r="C26" s="276"/>
      <c r="D26" s="233"/>
      <c r="E26" s="233"/>
      <c r="F26" s="233"/>
      <c r="G26" s="233"/>
      <c r="H26" s="233"/>
      <c r="I26" s="233"/>
    </row>
    <row r="27" spans="1:9" ht="15" customHeight="1" x14ac:dyDescent="0.25">
      <c r="A27" s="291"/>
      <c r="B27" s="226"/>
      <c r="C27" s="276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76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9ACD-FABB-40B6-9593-204D7158DCAA}">
  <sheetPr codeName="Tabelle9"/>
  <dimension ref="A1:X129"/>
  <sheetViews>
    <sheetView topLeftCell="A52" zoomScaleNormal="100" workbookViewId="0">
      <selection activeCell="D79" sqref="D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420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400</v>
      </c>
      <c r="C15" s="13" t="s">
        <v>419</v>
      </c>
      <c r="D15" s="95">
        <v>302.7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480</v>
      </c>
      <c r="C79" s="82"/>
      <c r="D79" s="95">
        <v>145.69999999999999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Film in Film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418</v>
      </c>
      <c r="C80" s="82"/>
      <c r="D80" s="95">
        <v>157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Film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F885-C1EC-431A-854D-DCDFD89EB27F}">
  <dimension ref="A1:I66"/>
  <sheetViews>
    <sheetView topLeftCell="A7" zoomScaleNormal="100" workbookViewId="0">
      <selection activeCell="C34" sqref="C34"/>
    </sheetView>
  </sheetViews>
  <sheetFormatPr defaultRowHeight="15" x14ac:dyDescent="0.25"/>
  <cols>
    <col min="1" max="1" width="39.5703125" customWidth="1"/>
    <col min="2" max="2" width="58.5703125" customWidth="1"/>
    <col min="3" max="3" width="27" style="277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4" t="s">
        <v>480</v>
      </c>
      <c r="D1" s="305"/>
      <c r="E1" s="305"/>
      <c r="F1" s="305"/>
      <c r="G1" s="305"/>
      <c r="H1" s="305"/>
      <c r="I1" s="306"/>
    </row>
    <row r="2" spans="1:9" ht="15" customHeight="1" x14ac:dyDescent="0.25">
      <c r="A2" s="286" t="s">
        <v>110</v>
      </c>
      <c r="B2" s="226" t="s">
        <v>111</v>
      </c>
      <c r="C2" s="307" t="str">
        <f>IF('General data'!B7="", "", 'General data'!B7)</f>
        <v>Mar Daniel</v>
      </c>
      <c r="D2" s="308"/>
      <c r="E2" s="308"/>
      <c r="F2" s="308"/>
      <c r="G2" s="308"/>
      <c r="H2" s="308"/>
      <c r="I2" s="309"/>
    </row>
    <row r="3" spans="1:9" ht="15" customHeight="1" x14ac:dyDescent="0.25">
      <c r="A3" s="287"/>
      <c r="B3" s="226" t="s">
        <v>31</v>
      </c>
      <c r="C3" s="310" t="str">
        <f>IF(Process_recycling_PP!B6="", "", Process_recycling_PP!B6)</f>
        <v>TU Darmstadt</v>
      </c>
      <c r="D3" s="311"/>
      <c r="E3" s="311"/>
      <c r="F3" s="311"/>
      <c r="G3" s="311"/>
      <c r="H3" s="311"/>
      <c r="I3" s="312"/>
    </row>
    <row r="4" spans="1:9" ht="15" customHeight="1" x14ac:dyDescent="0.25">
      <c r="A4" s="287"/>
      <c r="B4" s="226" t="s">
        <v>112</v>
      </c>
      <c r="C4" s="307" t="str">
        <f>IF('General data'!B14="", "", 'General data'!B14)</f>
        <v>10.12.2024</v>
      </c>
      <c r="D4" s="308"/>
      <c r="E4" s="308"/>
      <c r="F4" s="308"/>
      <c r="G4" s="308"/>
      <c r="H4" s="308"/>
      <c r="I4" s="309"/>
    </row>
    <row r="5" spans="1:9" ht="15" customHeight="1" x14ac:dyDescent="0.25">
      <c r="A5" s="287"/>
      <c r="B5" s="130" t="s">
        <v>113</v>
      </c>
      <c r="C5" s="295" t="s">
        <v>380</v>
      </c>
      <c r="D5" s="296"/>
      <c r="E5" s="296"/>
      <c r="F5" s="296"/>
      <c r="G5" s="296"/>
      <c r="H5" s="296"/>
      <c r="I5" s="297"/>
    </row>
    <row r="6" spans="1:9" ht="15" customHeight="1" x14ac:dyDescent="0.25">
      <c r="A6" s="288"/>
      <c r="B6" s="235" t="s">
        <v>114</v>
      </c>
      <c r="C6" s="295" t="s">
        <v>476</v>
      </c>
      <c r="D6" s="296"/>
      <c r="E6" s="296"/>
      <c r="F6" s="296"/>
      <c r="G6" s="296"/>
      <c r="H6" s="296"/>
      <c r="I6" s="297"/>
    </row>
    <row r="7" spans="1:9" ht="18.75" x14ac:dyDescent="0.3">
      <c r="A7" s="285" t="s">
        <v>115</v>
      </c>
      <c r="B7" s="227"/>
      <c r="C7" s="272" t="s">
        <v>50</v>
      </c>
      <c r="D7" s="228" t="s">
        <v>51</v>
      </c>
      <c r="E7" s="301" t="s">
        <v>116</v>
      </c>
      <c r="F7" s="302"/>
      <c r="G7" s="302"/>
      <c r="H7" s="302"/>
      <c r="I7" s="303"/>
    </row>
    <row r="8" spans="1:9" x14ac:dyDescent="0.25">
      <c r="A8" s="285"/>
      <c r="B8" s="229"/>
      <c r="C8" s="273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5"/>
      <c r="B9" s="230" t="s">
        <v>63</v>
      </c>
      <c r="C9" s="274">
        <v>145.69999999999999</v>
      </c>
      <c r="D9" s="230" t="str">
        <f>IF(Process_recycling_PP!E15="", "", Process_recycling_PP!E15)</f>
        <v>ton</v>
      </c>
      <c r="E9" s="298" t="str">
        <f>IF(Process_recycling_PP!H15="", "", Process_recycling_PP!H15)</f>
        <v/>
      </c>
      <c r="F9" s="299"/>
      <c r="G9" s="299"/>
      <c r="H9" s="299"/>
      <c r="I9" s="300"/>
    </row>
    <row r="10" spans="1:9" x14ac:dyDescent="0.25">
      <c r="A10" s="285"/>
      <c r="B10" s="230" t="s">
        <v>118</v>
      </c>
      <c r="C10" s="274"/>
      <c r="D10" s="230"/>
      <c r="E10" s="298"/>
      <c r="F10" s="299"/>
      <c r="G10" s="299"/>
      <c r="H10" s="299"/>
      <c r="I10" s="300"/>
    </row>
    <row r="11" spans="1:9" x14ac:dyDescent="0.25">
      <c r="A11" s="285"/>
      <c r="B11" s="230" t="s">
        <v>119</v>
      </c>
      <c r="C11" s="274"/>
      <c r="D11" s="230"/>
      <c r="E11" s="298"/>
      <c r="F11" s="299"/>
      <c r="G11" s="299"/>
      <c r="H11" s="299"/>
      <c r="I11" s="300"/>
    </row>
    <row r="12" spans="1:9" x14ac:dyDescent="0.25">
      <c r="A12" s="285"/>
      <c r="B12" s="230"/>
      <c r="C12" s="274"/>
      <c r="D12" s="230"/>
      <c r="E12" s="298"/>
      <c r="F12" s="299"/>
      <c r="G12" s="299"/>
      <c r="H12" s="299"/>
      <c r="I12" s="300"/>
    </row>
    <row r="13" spans="1:9" ht="15" customHeight="1" x14ac:dyDescent="0.25">
      <c r="A13" s="290" t="s">
        <v>120</v>
      </c>
      <c r="B13" s="293" t="str">
        <f>'[1]Material table'!A1</f>
        <v>Nane of material types</v>
      </c>
      <c r="C13" s="313" t="s">
        <v>121</v>
      </c>
      <c r="D13" s="289" t="s">
        <v>122</v>
      </c>
      <c r="E13" s="289" t="s">
        <v>123</v>
      </c>
      <c r="F13" s="289" t="s">
        <v>124</v>
      </c>
      <c r="G13" s="289" t="s">
        <v>125</v>
      </c>
      <c r="H13" s="289" t="s">
        <v>126</v>
      </c>
      <c r="I13" s="289" t="s">
        <v>54</v>
      </c>
    </row>
    <row r="14" spans="1:9" ht="15" customHeight="1" x14ac:dyDescent="0.25">
      <c r="A14" s="291"/>
      <c r="B14" s="293"/>
      <c r="C14" s="313"/>
      <c r="D14" s="289"/>
      <c r="E14" s="289"/>
      <c r="F14" s="289"/>
      <c r="G14" s="289"/>
      <c r="H14" s="289"/>
      <c r="I14" s="289"/>
    </row>
    <row r="15" spans="1:9" ht="47.25" customHeight="1" x14ac:dyDescent="0.25">
      <c r="A15" s="291"/>
      <c r="B15" s="231" t="s">
        <v>127</v>
      </c>
      <c r="C15" s="275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1"/>
      <c r="B16" s="226" t="s">
        <v>463</v>
      </c>
      <c r="C16" s="276">
        <v>1.1000000000000001</v>
      </c>
      <c r="D16" s="233" t="s">
        <v>384</v>
      </c>
      <c r="E16" s="233"/>
      <c r="F16" s="233"/>
      <c r="G16" s="233"/>
      <c r="H16" s="233"/>
      <c r="I16" s="233"/>
    </row>
    <row r="17" spans="1:9" ht="15" customHeight="1" x14ac:dyDescent="0.25">
      <c r="A17" s="291"/>
      <c r="B17" s="230" t="s">
        <v>464</v>
      </c>
      <c r="C17" s="276">
        <v>46.6</v>
      </c>
      <c r="D17" s="233" t="s">
        <v>384</v>
      </c>
      <c r="E17" s="233"/>
      <c r="F17" s="233"/>
      <c r="G17" s="233"/>
      <c r="H17" s="233"/>
      <c r="I17" s="233"/>
    </row>
    <row r="18" spans="1:9" ht="15" customHeight="1" x14ac:dyDescent="0.25">
      <c r="A18" s="291"/>
      <c r="B18" s="230" t="s">
        <v>465</v>
      </c>
      <c r="C18" s="276">
        <v>23.2</v>
      </c>
      <c r="D18" s="233" t="s">
        <v>384</v>
      </c>
      <c r="E18" s="233"/>
      <c r="F18" s="233"/>
      <c r="G18" s="233"/>
      <c r="H18" s="233"/>
      <c r="I18" s="233"/>
    </row>
    <row r="19" spans="1:9" ht="15" customHeight="1" x14ac:dyDescent="0.25">
      <c r="A19" s="291"/>
      <c r="B19" s="230" t="s">
        <v>466</v>
      </c>
      <c r="C19" s="276">
        <v>3.8</v>
      </c>
      <c r="D19" s="233" t="s">
        <v>384</v>
      </c>
      <c r="E19" s="233"/>
      <c r="F19" s="233"/>
      <c r="G19" s="233"/>
      <c r="H19" s="233"/>
      <c r="I19" s="233"/>
    </row>
    <row r="20" spans="1:9" ht="15" customHeight="1" x14ac:dyDescent="0.25">
      <c r="A20" s="291"/>
      <c r="B20" s="230" t="s">
        <v>470</v>
      </c>
      <c r="C20" s="276" t="s">
        <v>481</v>
      </c>
      <c r="D20" s="233" t="s">
        <v>384</v>
      </c>
      <c r="E20" s="233"/>
      <c r="F20" s="233"/>
      <c r="G20" s="233"/>
      <c r="H20" s="233"/>
      <c r="I20" s="233"/>
    </row>
    <row r="21" spans="1:9" ht="15" customHeight="1" x14ac:dyDescent="0.25">
      <c r="A21" s="291"/>
      <c r="B21" s="230"/>
      <c r="C21" s="276"/>
      <c r="D21" s="233"/>
      <c r="E21" s="233"/>
      <c r="F21" s="233"/>
      <c r="G21" s="233"/>
      <c r="H21" s="233"/>
      <c r="I21" s="233"/>
    </row>
    <row r="22" spans="1:9" ht="15" customHeight="1" x14ac:dyDescent="0.25">
      <c r="A22" s="291"/>
      <c r="B22" s="230"/>
      <c r="C22" s="276"/>
      <c r="D22" s="233"/>
      <c r="E22" s="233"/>
      <c r="F22" s="233"/>
      <c r="G22" s="233"/>
      <c r="H22" s="233"/>
      <c r="I22" s="233"/>
    </row>
    <row r="23" spans="1:9" ht="15" customHeight="1" x14ac:dyDescent="0.25">
      <c r="A23" s="291"/>
      <c r="B23" s="230"/>
      <c r="C23" s="276"/>
      <c r="D23" s="233"/>
      <c r="E23" s="233"/>
      <c r="F23" s="233"/>
      <c r="G23" s="233"/>
      <c r="H23" s="233"/>
      <c r="I23" s="233"/>
    </row>
    <row r="24" spans="1:9" ht="15" customHeight="1" x14ac:dyDescent="0.25">
      <c r="A24" s="291"/>
      <c r="B24" s="230"/>
      <c r="C24" s="276"/>
      <c r="D24" s="233"/>
      <c r="E24" s="233"/>
      <c r="F24" s="233"/>
      <c r="G24" s="233"/>
      <c r="H24" s="233"/>
      <c r="I24" s="233"/>
    </row>
    <row r="25" spans="1:9" ht="15" customHeight="1" x14ac:dyDescent="0.25">
      <c r="A25" s="291"/>
      <c r="B25" s="230"/>
      <c r="C25" s="276"/>
      <c r="D25" s="233"/>
      <c r="E25" s="233"/>
      <c r="F25" s="233"/>
      <c r="G25" s="233"/>
      <c r="H25" s="233"/>
      <c r="I25" s="233"/>
    </row>
    <row r="26" spans="1:9" ht="15" customHeight="1" x14ac:dyDescent="0.25">
      <c r="A26" s="291"/>
      <c r="B26" s="230"/>
      <c r="C26" s="276"/>
      <c r="D26" s="233"/>
      <c r="E26" s="233"/>
      <c r="F26" s="233"/>
      <c r="G26" s="233"/>
      <c r="H26" s="233"/>
      <c r="I26" s="233"/>
    </row>
    <row r="27" spans="1:9" ht="15" customHeight="1" x14ac:dyDescent="0.25">
      <c r="A27" s="291"/>
      <c r="B27" s="226"/>
      <c r="C27" s="276"/>
      <c r="D27" s="233"/>
      <c r="E27" s="233"/>
      <c r="F27" s="233"/>
      <c r="G27" s="233"/>
      <c r="H27" s="233"/>
      <c r="I27" s="233"/>
    </row>
    <row r="28" spans="1:9" ht="15" customHeight="1" x14ac:dyDescent="0.25">
      <c r="A28" s="291"/>
      <c r="B28" s="230"/>
      <c r="C28" s="276"/>
      <c r="D28" s="233"/>
      <c r="E28" s="233"/>
      <c r="F28" s="233"/>
      <c r="G28" s="233"/>
      <c r="H28" s="233"/>
      <c r="I28" s="233"/>
    </row>
    <row r="29" spans="1:9" ht="15" customHeight="1" x14ac:dyDescent="0.25">
      <c r="A29" s="291"/>
      <c r="B29" s="230"/>
      <c r="C29" s="276"/>
      <c r="D29" s="233"/>
      <c r="E29" s="233"/>
      <c r="F29" s="233"/>
      <c r="G29" s="233"/>
      <c r="H29" s="233"/>
      <c r="I29" s="233"/>
    </row>
    <row r="30" spans="1:9" ht="15" customHeight="1" x14ac:dyDescent="0.25">
      <c r="A30" s="291"/>
      <c r="B30" s="230"/>
      <c r="C30" s="276"/>
      <c r="D30" s="233"/>
      <c r="E30" s="233"/>
      <c r="F30" s="233"/>
      <c r="G30" s="233"/>
      <c r="H30" s="233"/>
      <c r="I30" s="233"/>
    </row>
    <row r="31" spans="1:9" ht="15" customHeight="1" x14ac:dyDescent="0.25">
      <c r="A31" s="291"/>
      <c r="B31" s="230"/>
      <c r="C31" s="276"/>
      <c r="D31" s="233"/>
      <c r="E31" s="233"/>
      <c r="F31" s="233"/>
      <c r="G31" s="233"/>
      <c r="H31" s="233"/>
      <c r="I31" s="233"/>
    </row>
    <row r="32" spans="1:9" ht="15" customHeight="1" x14ac:dyDescent="0.25">
      <c r="A32" s="291"/>
      <c r="B32" s="230"/>
      <c r="C32" s="276"/>
      <c r="D32" s="233"/>
      <c r="E32" s="233"/>
      <c r="F32" s="233"/>
      <c r="G32" s="233"/>
      <c r="H32" s="233"/>
      <c r="I32" s="233"/>
    </row>
    <row r="33" spans="1:9" ht="15" customHeight="1" x14ac:dyDescent="0.25">
      <c r="A33" s="291"/>
      <c r="B33" s="230"/>
      <c r="C33" s="276"/>
      <c r="D33" s="233"/>
      <c r="E33" s="233"/>
      <c r="F33" s="233"/>
      <c r="G33" s="233"/>
      <c r="H33" s="233"/>
      <c r="I33" s="233"/>
    </row>
    <row r="34" spans="1:9" ht="15" customHeight="1" x14ac:dyDescent="0.25">
      <c r="A34" s="291"/>
      <c r="B34" s="230"/>
      <c r="C34" s="276"/>
      <c r="D34" s="233"/>
      <c r="E34" s="233"/>
      <c r="F34" s="233"/>
      <c r="G34" s="233"/>
      <c r="H34" s="233"/>
      <c r="I34" s="233"/>
    </row>
    <row r="35" spans="1:9" ht="15" customHeight="1" x14ac:dyDescent="0.25">
      <c r="A35" s="291"/>
      <c r="B35" s="230"/>
      <c r="C35" s="276"/>
      <c r="D35" s="233"/>
      <c r="E35" s="233"/>
      <c r="F35" s="233"/>
      <c r="G35" s="233"/>
      <c r="H35" s="233"/>
      <c r="I35" s="233"/>
    </row>
    <row r="36" spans="1:9" ht="15" customHeight="1" x14ac:dyDescent="0.25">
      <c r="A36" s="291"/>
      <c r="B36" s="230"/>
      <c r="C36" s="276"/>
      <c r="D36" s="233"/>
      <c r="E36" s="233"/>
      <c r="F36" s="233"/>
      <c r="G36" s="233"/>
      <c r="H36" s="233"/>
      <c r="I36" s="233"/>
    </row>
    <row r="37" spans="1:9" ht="15" customHeight="1" x14ac:dyDescent="0.25">
      <c r="A37" s="291"/>
      <c r="B37" s="230"/>
      <c r="C37" s="276"/>
      <c r="D37" s="233"/>
      <c r="E37" s="233"/>
      <c r="F37" s="233"/>
      <c r="G37" s="233"/>
      <c r="H37" s="233"/>
      <c r="I37" s="233"/>
    </row>
    <row r="38" spans="1:9" ht="15" customHeight="1" x14ac:dyDescent="0.25">
      <c r="A38" s="291"/>
      <c r="B38" s="230"/>
      <c r="C38" s="276"/>
      <c r="D38" s="233"/>
      <c r="E38" s="233"/>
      <c r="F38" s="233"/>
      <c r="G38" s="233"/>
      <c r="H38" s="233"/>
      <c r="I38" s="233"/>
    </row>
    <row r="39" spans="1:9" ht="15" customHeight="1" x14ac:dyDescent="0.25">
      <c r="A39" s="291"/>
      <c r="B39" s="230"/>
      <c r="C39" s="276"/>
      <c r="D39" s="233"/>
      <c r="E39" s="233"/>
      <c r="F39" s="233"/>
      <c r="G39" s="233"/>
      <c r="H39" s="233"/>
      <c r="I39" s="233"/>
    </row>
    <row r="40" spans="1:9" ht="15" customHeight="1" x14ac:dyDescent="0.25">
      <c r="A40" s="291"/>
      <c r="B40" s="230"/>
      <c r="C40" s="276"/>
      <c r="D40" s="233"/>
      <c r="E40" s="233"/>
      <c r="F40" s="233"/>
      <c r="G40" s="233"/>
      <c r="H40" s="233"/>
      <c r="I40" s="233"/>
    </row>
    <row r="41" spans="1:9" ht="15" customHeight="1" x14ac:dyDescent="0.25">
      <c r="A41" s="291"/>
      <c r="B41" s="230"/>
      <c r="C41" s="276"/>
      <c r="D41" s="233"/>
      <c r="E41" s="233"/>
      <c r="F41" s="233"/>
      <c r="G41" s="233"/>
      <c r="H41" s="233"/>
      <c r="I41" s="233"/>
    </row>
    <row r="42" spans="1:9" ht="15" customHeight="1" x14ac:dyDescent="0.25">
      <c r="A42" s="291"/>
      <c r="B42" s="230"/>
      <c r="C42" s="276"/>
      <c r="D42" s="233"/>
      <c r="E42" s="233"/>
      <c r="F42" s="233"/>
      <c r="G42" s="233"/>
      <c r="H42" s="233"/>
      <c r="I42" s="233"/>
    </row>
    <row r="43" spans="1:9" ht="15" customHeight="1" x14ac:dyDescent="0.25">
      <c r="A43" s="291"/>
      <c r="B43" s="95"/>
      <c r="C43" s="274"/>
      <c r="D43" s="95"/>
      <c r="E43" s="95"/>
      <c r="F43" s="95"/>
      <c r="G43" s="95"/>
      <c r="H43" s="95"/>
      <c r="I43" s="95"/>
    </row>
    <row r="44" spans="1:9" ht="15" customHeight="1" x14ac:dyDescent="0.25">
      <c r="A44" s="291"/>
      <c r="B44" s="95"/>
      <c r="C44" s="274"/>
      <c r="D44" s="95"/>
      <c r="E44" s="95"/>
      <c r="F44" s="95"/>
      <c r="G44" s="95"/>
      <c r="H44" s="95"/>
      <c r="I44" s="95"/>
    </row>
    <row r="45" spans="1:9" ht="15" customHeight="1" x14ac:dyDescent="0.25">
      <c r="A45" s="291"/>
      <c r="B45" s="95"/>
      <c r="C45" s="274"/>
      <c r="D45" s="95"/>
      <c r="E45" s="95"/>
      <c r="F45" s="95"/>
      <c r="G45" s="95"/>
      <c r="H45" s="95"/>
      <c r="I45" s="95"/>
    </row>
    <row r="46" spans="1:9" ht="15" customHeight="1" x14ac:dyDescent="0.25">
      <c r="A46" s="291"/>
      <c r="B46" s="95"/>
      <c r="C46" s="274"/>
      <c r="D46" s="95"/>
      <c r="E46" s="95"/>
      <c r="F46" s="95"/>
      <c r="G46" s="95"/>
      <c r="H46" s="95"/>
      <c r="I46" s="95"/>
    </row>
    <row r="47" spans="1:9" x14ac:dyDescent="0.25">
      <c r="A47" s="291"/>
      <c r="B47" s="95"/>
      <c r="C47" s="274"/>
      <c r="D47" s="95"/>
      <c r="E47" s="95"/>
      <c r="F47" s="95"/>
      <c r="G47" s="95"/>
      <c r="H47" s="95"/>
      <c r="I47" s="95"/>
    </row>
    <row r="48" spans="1:9" ht="15" customHeight="1" x14ac:dyDescent="0.25">
      <c r="A48" s="291"/>
      <c r="B48" s="95"/>
      <c r="C48" s="274"/>
      <c r="D48" s="95"/>
      <c r="E48" s="95"/>
      <c r="F48" s="95"/>
      <c r="G48" s="95"/>
      <c r="H48" s="95"/>
      <c r="I48" s="95"/>
    </row>
    <row r="49" spans="1:9" ht="15" customHeight="1" x14ac:dyDescent="0.25">
      <c r="A49" s="291"/>
      <c r="B49" s="95"/>
      <c r="C49" s="274"/>
      <c r="D49" s="95"/>
      <c r="E49" s="95"/>
      <c r="F49" s="95"/>
      <c r="G49" s="95"/>
      <c r="H49" s="95"/>
      <c r="I49" s="95"/>
    </row>
    <row r="50" spans="1:9" ht="15" customHeight="1" x14ac:dyDescent="0.25">
      <c r="A50" s="291"/>
      <c r="B50" s="95"/>
      <c r="C50" s="274"/>
      <c r="D50" s="95"/>
      <c r="E50" s="95"/>
      <c r="F50" s="95"/>
      <c r="G50" s="95"/>
      <c r="H50" s="95"/>
      <c r="I50" s="95"/>
    </row>
    <row r="51" spans="1:9" ht="15" customHeight="1" x14ac:dyDescent="0.25">
      <c r="A51" s="291"/>
      <c r="B51" s="95"/>
      <c r="C51" s="274"/>
      <c r="D51" s="95"/>
      <c r="E51" s="95"/>
      <c r="F51" s="95"/>
      <c r="G51" s="95"/>
      <c r="H51" s="95"/>
      <c r="I51" s="95"/>
    </row>
    <row r="52" spans="1:9" ht="15" customHeight="1" x14ac:dyDescent="0.25">
      <c r="A52" s="291"/>
      <c r="B52" s="95"/>
      <c r="C52" s="274"/>
      <c r="D52" s="95"/>
      <c r="E52" s="95"/>
      <c r="F52" s="95"/>
      <c r="G52" s="95"/>
      <c r="H52" s="95"/>
      <c r="I52" s="95"/>
    </row>
    <row r="53" spans="1:9" ht="15" customHeight="1" x14ac:dyDescent="0.25">
      <c r="A53" s="291"/>
      <c r="B53" s="95"/>
      <c r="C53" s="274"/>
      <c r="D53" s="95"/>
      <c r="E53" s="95"/>
      <c r="F53" s="95"/>
      <c r="G53" s="95"/>
      <c r="H53" s="95"/>
      <c r="I53" s="95"/>
    </row>
    <row r="54" spans="1:9" x14ac:dyDescent="0.25">
      <c r="A54" s="291"/>
      <c r="B54" s="95"/>
      <c r="C54" s="274"/>
      <c r="D54" s="95"/>
      <c r="E54" s="95"/>
      <c r="F54" s="95"/>
      <c r="G54" s="95"/>
      <c r="H54" s="95"/>
      <c r="I54" s="95"/>
    </row>
    <row r="55" spans="1:9" ht="15" customHeight="1" x14ac:dyDescent="0.25">
      <c r="A55" s="291"/>
      <c r="B55" s="95"/>
      <c r="C55" s="274"/>
      <c r="D55" s="95"/>
      <c r="E55" s="95"/>
      <c r="F55" s="95"/>
      <c r="G55" s="95"/>
      <c r="H55" s="95"/>
      <c r="I55" s="95"/>
    </row>
    <row r="56" spans="1:9" ht="15" customHeight="1" x14ac:dyDescent="0.25">
      <c r="A56" s="291"/>
      <c r="B56" s="95"/>
      <c r="C56" s="274"/>
      <c r="D56" s="95"/>
      <c r="E56" s="95"/>
      <c r="F56" s="95"/>
      <c r="G56" s="95"/>
      <c r="H56" s="95"/>
      <c r="I56" s="95"/>
    </row>
    <row r="57" spans="1:9" ht="15" customHeight="1" x14ac:dyDescent="0.25">
      <c r="A57" s="291"/>
      <c r="B57" s="95"/>
      <c r="C57" s="274"/>
      <c r="D57" s="95"/>
      <c r="E57" s="95"/>
      <c r="F57" s="95"/>
      <c r="G57" s="95"/>
      <c r="H57" s="95"/>
      <c r="I57" s="95"/>
    </row>
    <row r="58" spans="1:9" ht="15" customHeight="1" x14ac:dyDescent="0.25">
      <c r="A58" s="291"/>
      <c r="B58" s="95"/>
      <c r="C58" s="274"/>
      <c r="D58" s="95"/>
      <c r="E58" s="95"/>
      <c r="F58" s="95"/>
      <c r="G58" s="95"/>
      <c r="H58" s="95"/>
      <c r="I58" s="95"/>
    </row>
    <row r="59" spans="1:9" ht="15" customHeight="1" x14ac:dyDescent="0.25">
      <c r="A59" s="291"/>
      <c r="B59" s="95"/>
      <c r="C59" s="274"/>
      <c r="D59" s="95"/>
      <c r="E59" s="95"/>
      <c r="F59" s="95"/>
      <c r="G59" s="95"/>
      <c r="H59" s="95"/>
      <c r="I59" s="95"/>
    </row>
    <row r="60" spans="1:9" ht="15" customHeight="1" x14ac:dyDescent="0.25">
      <c r="A60" s="291"/>
      <c r="B60" s="95"/>
      <c r="C60" s="274"/>
      <c r="D60" s="95"/>
      <c r="E60" s="95"/>
      <c r="F60" s="95"/>
      <c r="G60" s="95"/>
      <c r="H60" s="95"/>
      <c r="I60" s="95"/>
    </row>
    <row r="61" spans="1:9" ht="15" customHeight="1" x14ac:dyDescent="0.25">
      <c r="A61" s="291"/>
      <c r="B61" s="95"/>
      <c r="C61" s="274"/>
      <c r="D61" s="95"/>
      <c r="E61" s="95"/>
      <c r="F61" s="95"/>
      <c r="G61" s="95"/>
      <c r="H61" s="95"/>
      <c r="I61" s="95"/>
    </row>
    <row r="62" spans="1:9" ht="15" customHeight="1" x14ac:dyDescent="0.25">
      <c r="A62" s="291"/>
      <c r="B62" s="95"/>
      <c r="C62" s="274"/>
      <c r="D62" s="95"/>
      <c r="E62" s="95"/>
      <c r="F62" s="95"/>
      <c r="G62" s="95"/>
      <c r="H62" s="95"/>
      <c r="I62" s="95"/>
    </row>
    <row r="63" spans="1:9" ht="15" customHeight="1" x14ac:dyDescent="0.25">
      <c r="A63" s="291"/>
      <c r="B63" s="95"/>
      <c r="C63" s="274"/>
      <c r="D63" s="95"/>
      <c r="E63" s="95"/>
      <c r="F63" s="95"/>
      <c r="G63" s="95"/>
      <c r="H63" s="95"/>
      <c r="I63" s="95"/>
    </row>
    <row r="64" spans="1:9" ht="15" customHeight="1" x14ac:dyDescent="0.25">
      <c r="A64" s="291"/>
      <c r="B64" s="95"/>
      <c r="C64" s="274"/>
      <c r="D64" s="95"/>
      <c r="E64" s="95"/>
      <c r="F64" s="95"/>
      <c r="G64" s="95"/>
      <c r="H64" s="95"/>
      <c r="I64" s="95"/>
    </row>
    <row r="65" spans="1:9" ht="15" customHeight="1" x14ac:dyDescent="0.25">
      <c r="A65" s="291"/>
      <c r="B65" s="95"/>
      <c r="C65" s="274"/>
      <c r="D65" s="95"/>
      <c r="E65" s="95"/>
      <c r="F65" s="95"/>
      <c r="G65" s="95"/>
      <c r="H65" s="95"/>
      <c r="I65" s="95"/>
    </row>
    <row r="66" spans="1:9" x14ac:dyDescent="0.25">
      <c r="A66" s="292"/>
      <c r="B66" s="138" t="s">
        <v>160</v>
      </c>
      <c r="C66" s="274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3BFA-EFD5-4C2F-AB5E-901747523CBC}">
  <sheetPr codeName="Tabelle2"/>
  <dimension ref="A1:X129"/>
  <sheetViews>
    <sheetView topLeftCell="A58" zoomScaleNormal="100" workbookViewId="0">
      <selection activeCell="A83" sqref="A83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421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373</v>
      </c>
      <c r="C15" s="13"/>
      <c r="D15" s="95">
        <v>106.9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 in PP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375</v>
      </c>
      <c r="C79" s="82"/>
      <c r="D79" s="95">
        <v>33.4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PP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270" t="s">
        <v>376</v>
      </c>
      <c r="C80" s="82"/>
      <c r="D80" s="271">
        <v>19.600000000000001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PP recycling residues</v>
      </c>
      <c r="P80" s="62"/>
      <c r="Q80" s="19" t="str">
        <f t="shared" ref="Q80:Q81" si="6">IF(P80&lt;&gt;0,Q$12,"")</f>
        <v/>
      </c>
      <c r="R80" s="41"/>
      <c r="S80" s="63"/>
      <c r="T80" s="19" t="str">
        <f t="shared" ref="T80:T81" si="7">IF(S80&lt;&gt;0,T$12,"")</f>
        <v/>
      </c>
      <c r="U80" s="64"/>
    </row>
    <row r="81" spans="1:21" x14ac:dyDescent="0.25">
      <c r="A81" s="221" t="s">
        <v>105</v>
      </c>
      <c r="B81" s="120" t="s">
        <v>422</v>
      </c>
      <c r="C81" s="87"/>
      <c r="D81" s="95">
        <v>15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" si="8">IF(B81="","",B81)</f>
        <v>Mixed Packaging PP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377</v>
      </c>
      <c r="C82" s="87"/>
      <c r="D82">
        <v>6.5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ref="O82:O91" si="9">IF(B82="","",B82)</f>
        <v>Trays PP</v>
      </c>
      <c r="P82" s="62"/>
      <c r="Q82" s="19" t="str">
        <f t="shared" ref="Q82:Q91" si="10">IF(P82&lt;&gt;0,Q$12,"")</f>
        <v/>
      </c>
      <c r="R82" s="41"/>
      <c r="S82" s="63"/>
      <c r="T82" s="19" t="str">
        <f t="shared" ref="T82:T91" si="11">IF(S82&lt;&gt;0,T$12,"")</f>
        <v/>
      </c>
      <c r="U82" s="64"/>
    </row>
    <row r="83" spans="1:21" x14ac:dyDescent="0.25">
      <c r="A83" s="221" t="s">
        <v>106</v>
      </c>
      <c r="B83" s="85" t="s">
        <v>378</v>
      </c>
      <c r="C83" s="97"/>
      <c r="D83" s="98">
        <v>26.2</v>
      </c>
      <c r="E83" s="19" t="s">
        <v>374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9"/>
        <v>MaD PP</v>
      </c>
      <c r="P83" s="62"/>
      <c r="Q83" s="19" t="str">
        <f t="shared" si="10"/>
        <v/>
      </c>
      <c r="R83" s="41"/>
      <c r="S83" s="63"/>
      <c r="T83" s="19" t="str">
        <f t="shared" si="11"/>
        <v/>
      </c>
      <c r="U83" s="64"/>
    </row>
    <row r="84" spans="1:21" x14ac:dyDescent="0.25">
      <c r="A84" s="221" t="s">
        <v>106</v>
      </c>
      <c r="B84" s="120" t="s">
        <v>423</v>
      </c>
      <c r="C84" s="97"/>
      <c r="D84" s="95">
        <v>6.1</v>
      </c>
      <c r="E84" s="19" t="s">
        <v>374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10"/>
        <v/>
      </c>
      <c r="R84" s="41"/>
      <c r="S84" s="63"/>
      <c r="T84" s="19" t="str">
        <f t="shared" si="11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9"/>
        <v/>
      </c>
      <c r="P85" s="62"/>
      <c r="Q85" s="19" t="str">
        <f t="shared" si="10"/>
        <v/>
      </c>
      <c r="R85" s="41"/>
      <c r="S85" s="63"/>
      <c r="T85" s="19" t="str">
        <f t="shared" si="11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9"/>
        <v/>
      </c>
      <c r="P86" s="62"/>
      <c r="Q86" s="19" t="str">
        <f t="shared" si="10"/>
        <v/>
      </c>
      <c r="R86" s="41"/>
      <c r="S86" s="63"/>
      <c r="T86" s="19" t="str">
        <f t="shared" si="11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9"/>
        <v/>
      </c>
      <c r="P87" s="62"/>
      <c r="Q87" s="19" t="str">
        <f t="shared" si="10"/>
        <v/>
      </c>
      <c r="R87" s="41"/>
      <c r="S87" s="63"/>
      <c r="T87" s="19" t="str">
        <f t="shared" si="11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9"/>
        <v/>
      </c>
      <c r="P88" s="62"/>
      <c r="Q88" s="19" t="str">
        <f t="shared" si="10"/>
        <v/>
      </c>
      <c r="R88" s="41"/>
      <c r="S88" s="63"/>
      <c r="T88" s="19" t="str">
        <f t="shared" si="11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9"/>
        <v/>
      </c>
      <c r="P89" s="62"/>
      <c r="Q89" s="19" t="str">
        <f t="shared" si="10"/>
        <v/>
      </c>
      <c r="R89" s="41"/>
      <c r="S89" s="63"/>
      <c r="T89" s="19" t="str">
        <f t="shared" si="11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9"/>
        <v/>
      </c>
      <c r="P90" s="62"/>
      <c r="Q90" s="19" t="str">
        <f t="shared" si="10"/>
        <v/>
      </c>
      <c r="R90" s="41"/>
      <c r="S90" s="63"/>
      <c r="T90" s="19" t="str">
        <f t="shared" si="11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9"/>
        <v/>
      </c>
      <c r="P91" s="62"/>
      <c r="Q91" s="19" t="str">
        <f t="shared" si="10"/>
        <v/>
      </c>
      <c r="R91" s="41"/>
      <c r="S91" s="63"/>
      <c r="T91" s="19" t="str">
        <f t="shared" si="11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I76:L76"/>
    <mergeCell ref="B6:C6"/>
    <mergeCell ref="I12:M12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C8110-397A-4154-AB48-75F1D057CACC}">
  <sheetPr codeName="Tabelle10"/>
  <dimension ref="A1:X129"/>
  <sheetViews>
    <sheetView topLeftCell="A55" zoomScaleNormal="100" workbookViewId="0">
      <selection activeCell="A81" sqref="A81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424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425</v>
      </c>
      <c r="C15" s="13"/>
      <c r="D15" s="95">
        <v>13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 in PS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426</v>
      </c>
      <c r="C79" s="82"/>
      <c r="D79" s="95">
        <v>8.6999999999999993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Rigids PS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270" t="s">
        <v>427</v>
      </c>
      <c r="C80" s="82"/>
      <c r="D80" s="271">
        <v>0.5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428</v>
      </c>
      <c r="C81" s="87"/>
      <c r="D81" s="95">
        <v>2.8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MaD PS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429</v>
      </c>
      <c r="C82" s="87"/>
      <c r="D82">
        <v>1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PS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85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ED06-56BC-4C22-AFA8-3EB57795A142}">
  <sheetPr codeName="Tabelle11"/>
  <dimension ref="A1:X129"/>
  <sheetViews>
    <sheetView topLeftCell="A64" zoomScaleNormal="100" workbookViewId="0">
      <selection activeCell="E86" sqref="E86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430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431</v>
      </c>
      <c r="C15" s="13"/>
      <c r="D15" s="95">
        <v>59.5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 in PET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432</v>
      </c>
      <c r="C79" s="82"/>
      <c r="D79" s="95">
        <v>15.4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PET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270" t="s">
        <v>433</v>
      </c>
      <c r="C80" s="82"/>
      <c r="D80" s="271">
        <v>8.9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PET recycling residues</v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434</v>
      </c>
      <c r="C81" s="87"/>
      <c r="D81" s="95">
        <v>8.3000000000000007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Mixed Packaging PET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435</v>
      </c>
      <c r="C82" s="87"/>
      <c r="D82">
        <v>12.2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Trays PET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85" t="s">
        <v>436</v>
      </c>
      <c r="C83" s="97"/>
      <c r="D83" s="98">
        <v>8.1999999999999993</v>
      </c>
      <c r="E83" s="19" t="s">
        <v>374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>MaD PET</v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 t="s">
        <v>437</v>
      </c>
      <c r="C84" s="97"/>
      <c r="D84" s="95">
        <v>6.5</v>
      </c>
      <c r="E84" s="19" t="s">
        <v>374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2382E-C6A4-4602-A277-A3B878728770}">
  <sheetPr codeName="Tabelle12"/>
  <dimension ref="A1:X129"/>
  <sheetViews>
    <sheetView topLeftCell="A67" zoomScaleNormal="100" workbookViewId="0">
      <selection activeCell="E85" sqref="E8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438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439</v>
      </c>
      <c r="C15" s="13"/>
      <c r="D15" s="95">
        <v>30.4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 in HDPE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440</v>
      </c>
      <c r="C79" s="82"/>
      <c r="D79" s="95">
        <v>2.4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HDPE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270" t="s">
        <v>441</v>
      </c>
      <c r="C80" s="82"/>
      <c r="D80" s="271">
        <v>21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442</v>
      </c>
      <c r="C81" s="87"/>
      <c r="D81" s="95">
        <v>0.3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Mixed Packaging HDPE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85" t="s">
        <v>444</v>
      </c>
      <c r="C82" s="87"/>
      <c r="D82">
        <v>2.7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MaD HDPE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 t="s">
        <v>443</v>
      </c>
      <c r="C83" s="97"/>
      <c r="D83" s="98">
        <v>3.9</v>
      </c>
      <c r="E83" s="19" t="s">
        <v>374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>HDPE recycling residues</v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58A2-BB9E-4855-B4F3-6A8A12B2C747}">
  <sheetPr codeName="Tabelle13"/>
  <dimension ref="A1:X129"/>
  <sheetViews>
    <sheetView tabSelected="1" topLeftCell="A49" zoomScaleNormal="100" workbookViewId="0">
      <selection activeCell="B82" sqref="B82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449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450</v>
      </c>
      <c r="C15" s="13"/>
      <c r="D15" s="95">
        <v>145.69999999999999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 in film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445</v>
      </c>
      <c r="C79" s="82"/>
      <c r="D79" s="95">
        <v>34.799999999999997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&lt;A4 Film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270" t="s">
        <v>446</v>
      </c>
      <c r="C80" s="82"/>
      <c r="D80" s="271">
        <v>65.5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447</v>
      </c>
      <c r="C81" s="87"/>
      <c r="D81" s="95">
        <v>32.200000000000003</v>
      </c>
      <c r="E81" s="19" t="s">
        <v>374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MaD Film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106</v>
      </c>
      <c r="B82" s="85" t="s">
        <v>448</v>
      </c>
      <c r="C82" s="87"/>
      <c r="D82">
        <v>13.2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Film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100F-3722-4872-B7F8-7B188C4ADBBF}">
  <sheetPr codeName="Tabelle14"/>
  <dimension ref="A1:X129"/>
  <sheetViews>
    <sheetView topLeftCell="A64" zoomScaleNormal="100" workbookViewId="0">
      <selection activeCell="D84" sqref="D84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451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8" t="s">
        <v>32</v>
      </c>
      <c r="C6" s="27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80" t="s">
        <v>46</v>
      </c>
      <c r="J12" s="281"/>
      <c r="K12" s="281"/>
      <c r="L12" s="281"/>
      <c r="M12" s="28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452</v>
      </c>
      <c r="C15" s="13"/>
      <c r="D15" s="95">
        <v>419</v>
      </c>
      <c r="E15" s="19" t="s">
        <v>374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Mixed Plastics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3" t="s">
        <v>46</v>
      </c>
      <c r="J76" s="284"/>
      <c r="K76" s="284"/>
      <c r="L76" s="28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453</v>
      </c>
      <c r="C79" s="82"/>
      <c r="D79" s="95">
        <v>247.2</v>
      </c>
      <c r="E79" s="19" t="s">
        <v>374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MPO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454</v>
      </c>
      <c r="C80" s="82"/>
      <c r="D80" s="271">
        <v>60</v>
      </c>
      <c r="E80" s="19" t="s">
        <v>374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/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106</v>
      </c>
      <c r="B82" s="85" t="s">
        <v>455</v>
      </c>
      <c r="C82" s="87"/>
      <c r="D82">
        <v>111.9</v>
      </c>
      <c r="E82" s="19" t="s">
        <v>374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MP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BE0F-8A0C-4135-A4AC-80B9A87EEB71}">
  <dimension ref="A1:S28"/>
  <sheetViews>
    <sheetView topLeftCell="C1" workbookViewId="0">
      <selection activeCell="J28" sqref="J28"/>
    </sheetView>
  </sheetViews>
  <sheetFormatPr defaultRowHeight="15" x14ac:dyDescent="0.25"/>
  <cols>
    <col min="1" max="1" width="31.28515625" customWidth="1"/>
    <col min="2" max="2" width="100.42578125" customWidth="1"/>
    <col min="3" max="3" width="29.85546875" customWidth="1"/>
    <col min="4" max="4" width="28.140625" customWidth="1"/>
    <col min="5" max="5" width="33.7109375" customWidth="1"/>
    <col min="6" max="6" width="38.85546875" customWidth="1"/>
    <col min="7" max="7" width="19.7109375" customWidth="1"/>
    <col min="8" max="8" width="23.85546875" customWidth="1"/>
    <col min="9" max="9" width="92.42578125" customWidth="1"/>
    <col min="10" max="10" width="27.42578125" style="235" customWidth="1"/>
    <col min="11" max="11" width="127.140625" customWidth="1"/>
    <col min="12" max="12" width="69.85546875" customWidth="1"/>
    <col min="13" max="13" width="42.85546875" customWidth="1"/>
    <col min="14" max="14" width="151.28515625" customWidth="1"/>
  </cols>
  <sheetData>
    <row r="1" spans="1:19" x14ac:dyDescent="0.25">
      <c r="A1" s="244" t="s">
        <v>161</v>
      </c>
      <c r="B1" s="245" t="s">
        <v>49</v>
      </c>
      <c r="C1" s="245" t="s">
        <v>162</v>
      </c>
      <c r="D1" s="245" t="s">
        <v>163</v>
      </c>
      <c r="E1" s="245" t="s">
        <v>164</v>
      </c>
      <c r="F1" s="245" t="s">
        <v>165</v>
      </c>
      <c r="G1" s="245" t="s">
        <v>166</v>
      </c>
      <c r="H1" s="245" t="s">
        <v>126</v>
      </c>
      <c r="I1" s="245" t="s">
        <v>167</v>
      </c>
      <c r="J1" s="245" t="s">
        <v>168</v>
      </c>
      <c r="K1" s="245" t="s">
        <v>169</v>
      </c>
      <c r="L1" s="246" t="s">
        <v>170</v>
      </c>
      <c r="M1" s="246" t="s">
        <v>171</v>
      </c>
      <c r="N1" s="246" t="s">
        <v>172</v>
      </c>
      <c r="O1" s="246"/>
      <c r="P1" s="246"/>
      <c r="Q1" s="246"/>
      <c r="R1" s="246"/>
      <c r="S1" s="258"/>
    </row>
    <row r="2" spans="1:19" x14ac:dyDescent="0.25">
      <c r="A2" s="247" t="s">
        <v>173</v>
      </c>
      <c r="B2" s="247" t="s">
        <v>174</v>
      </c>
      <c r="C2" s="247" t="s">
        <v>175</v>
      </c>
      <c r="D2" s="247" t="s">
        <v>176</v>
      </c>
      <c r="E2" s="247" t="s">
        <v>177</v>
      </c>
      <c r="F2" s="248" t="s">
        <v>178</v>
      </c>
      <c r="G2" s="247" t="s">
        <v>179</v>
      </c>
      <c r="H2" s="248" t="s">
        <v>180</v>
      </c>
      <c r="I2" s="247" t="s">
        <v>181</v>
      </c>
      <c r="J2" s="247"/>
      <c r="K2" s="248" t="s">
        <v>182</v>
      </c>
      <c r="L2" s="248" t="s">
        <v>183</v>
      </c>
      <c r="M2" s="248" t="s">
        <v>184</v>
      </c>
      <c r="N2" s="248" t="s">
        <v>185</v>
      </c>
      <c r="O2" s="248"/>
      <c r="P2" s="248"/>
      <c r="Q2" s="248"/>
      <c r="R2" s="248"/>
      <c r="S2" s="259"/>
    </row>
    <row r="3" spans="1:19" x14ac:dyDescent="0.25">
      <c r="A3" s="242" t="s">
        <v>134</v>
      </c>
      <c r="B3" s="235" t="s">
        <v>186</v>
      </c>
      <c r="C3" s="235" t="s">
        <v>187</v>
      </c>
      <c r="D3" s="235" t="s">
        <v>188</v>
      </c>
      <c r="E3" s="235">
        <v>886</v>
      </c>
      <c r="F3" s="249" t="s">
        <v>189</v>
      </c>
      <c r="G3" s="252" t="s">
        <v>190</v>
      </c>
      <c r="H3" t="s">
        <v>191</v>
      </c>
      <c r="I3" t="s">
        <v>192</v>
      </c>
      <c r="K3" t="s">
        <v>193</v>
      </c>
      <c r="L3" t="s">
        <v>194</v>
      </c>
      <c r="M3" s="256" t="s">
        <v>195</v>
      </c>
      <c r="N3" t="s">
        <v>196</v>
      </c>
      <c r="S3" s="260"/>
    </row>
    <row r="4" spans="1:19" x14ac:dyDescent="0.25">
      <c r="A4" s="242" t="s">
        <v>135</v>
      </c>
      <c r="B4" s="235" t="s">
        <v>197</v>
      </c>
      <c r="C4" s="235" t="s">
        <v>198</v>
      </c>
      <c r="D4" s="235" t="s">
        <v>199</v>
      </c>
      <c r="E4" s="235">
        <v>1350</v>
      </c>
      <c r="F4" s="250" t="s">
        <v>200</v>
      </c>
      <c r="G4" s="253" t="s">
        <v>201</v>
      </c>
      <c r="H4" t="s">
        <v>202</v>
      </c>
      <c r="I4" t="s">
        <v>203</v>
      </c>
      <c r="L4" t="s">
        <v>204</v>
      </c>
      <c r="M4" s="256" t="s">
        <v>205</v>
      </c>
      <c r="N4" t="s">
        <v>206</v>
      </c>
      <c r="S4" s="260"/>
    </row>
    <row r="5" spans="1:19" x14ac:dyDescent="0.25">
      <c r="A5" s="242" t="s">
        <v>136</v>
      </c>
      <c r="B5" s="235" t="s">
        <v>207</v>
      </c>
      <c r="C5" s="235" t="s">
        <v>208</v>
      </c>
      <c r="D5" s="235" t="s">
        <v>209</v>
      </c>
      <c r="E5" s="235" t="s">
        <v>210</v>
      </c>
      <c r="F5" s="250" t="s">
        <v>211</v>
      </c>
      <c r="G5" s="250"/>
      <c r="H5" t="s">
        <v>212</v>
      </c>
      <c r="I5" t="s">
        <v>213</v>
      </c>
      <c r="N5" t="s">
        <v>214</v>
      </c>
      <c r="S5" s="260"/>
    </row>
    <row r="6" spans="1:19" x14ac:dyDescent="0.25">
      <c r="A6" s="242" t="s">
        <v>137</v>
      </c>
      <c r="B6" s="235" t="s">
        <v>215</v>
      </c>
      <c r="C6" s="235" t="s">
        <v>216</v>
      </c>
      <c r="D6" s="235" t="s">
        <v>188</v>
      </c>
      <c r="E6" s="235" t="s">
        <v>217</v>
      </c>
      <c r="F6" s="250"/>
      <c r="G6" s="250"/>
      <c r="H6" t="s">
        <v>218</v>
      </c>
      <c r="I6" t="s">
        <v>219</v>
      </c>
      <c r="K6" t="s">
        <v>220</v>
      </c>
      <c r="L6" t="s">
        <v>221</v>
      </c>
      <c r="M6" s="256" t="s">
        <v>205</v>
      </c>
      <c r="N6" t="s">
        <v>222</v>
      </c>
      <c r="S6" s="260"/>
    </row>
    <row r="7" spans="1:19" x14ac:dyDescent="0.25">
      <c r="A7" s="242" t="s">
        <v>138</v>
      </c>
      <c r="B7" s="235" t="s">
        <v>223</v>
      </c>
      <c r="C7" s="235" t="s">
        <v>216</v>
      </c>
      <c r="D7" s="235" t="s">
        <v>188</v>
      </c>
      <c r="E7" s="235" t="s">
        <v>224</v>
      </c>
      <c r="F7" s="250"/>
      <c r="G7" s="250"/>
      <c r="H7" t="s">
        <v>218</v>
      </c>
      <c r="I7" t="s">
        <v>225</v>
      </c>
      <c r="K7" t="s">
        <v>220</v>
      </c>
      <c r="L7" t="s">
        <v>226</v>
      </c>
      <c r="M7" s="256" t="s">
        <v>227</v>
      </c>
      <c r="N7" t="s">
        <v>228</v>
      </c>
      <c r="S7" s="260"/>
    </row>
    <row r="8" spans="1:19" x14ac:dyDescent="0.25">
      <c r="A8" s="242" t="s">
        <v>139</v>
      </c>
      <c r="B8" s="235" t="s">
        <v>229</v>
      </c>
      <c r="C8" s="235" t="s">
        <v>230</v>
      </c>
      <c r="D8" s="235" t="s">
        <v>231</v>
      </c>
      <c r="E8" s="235" t="s">
        <v>232</v>
      </c>
      <c r="F8" s="250"/>
      <c r="G8" s="250"/>
      <c r="H8" t="s">
        <v>233</v>
      </c>
      <c r="I8" s="235" t="s">
        <v>234</v>
      </c>
      <c r="J8" s="235">
        <v>331</v>
      </c>
      <c r="K8" t="s">
        <v>235</v>
      </c>
      <c r="L8" t="s">
        <v>236</v>
      </c>
      <c r="M8" s="256" t="s">
        <v>227</v>
      </c>
      <c r="N8" t="s">
        <v>237</v>
      </c>
      <c r="S8" s="260"/>
    </row>
    <row r="9" spans="1:19" x14ac:dyDescent="0.25">
      <c r="A9" s="242" t="s">
        <v>140</v>
      </c>
      <c r="B9" s="235" t="s">
        <v>238</v>
      </c>
      <c r="C9" s="235" t="s">
        <v>239</v>
      </c>
      <c r="D9" s="235" t="s">
        <v>240</v>
      </c>
      <c r="E9" s="235" t="s">
        <v>241</v>
      </c>
      <c r="F9" s="250"/>
      <c r="G9" s="250"/>
      <c r="H9" t="s">
        <v>242</v>
      </c>
      <c r="I9" t="s">
        <v>243</v>
      </c>
      <c r="L9" t="s">
        <v>244</v>
      </c>
      <c r="M9" s="256" t="s">
        <v>245</v>
      </c>
      <c r="N9" t="s">
        <v>246</v>
      </c>
      <c r="S9" s="260"/>
    </row>
    <row r="10" spans="1:19" ht="15" customHeight="1" x14ac:dyDescent="0.25">
      <c r="A10" s="242" t="s">
        <v>141</v>
      </c>
      <c r="B10" s="235" t="s">
        <v>247</v>
      </c>
      <c r="C10" s="235" t="s">
        <v>248</v>
      </c>
      <c r="D10" s="235" t="s">
        <v>249</v>
      </c>
      <c r="E10" s="235">
        <v>1200</v>
      </c>
      <c r="F10" s="250"/>
      <c r="G10" s="250"/>
      <c r="H10" t="s">
        <v>202</v>
      </c>
      <c r="I10" s="255" t="s">
        <v>250</v>
      </c>
      <c r="J10" s="241"/>
      <c r="N10" t="s">
        <v>251</v>
      </c>
      <c r="S10" s="260"/>
    </row>
    <row r="11" spans="1:19" x14ac:dyDescent="0.25">
      <c r="A11" s="242" t="s">
        <v>142</v>
      </c>
      <c r="B11" s="235" t="s">
        <v>252</v>
      </c>
      <c r="C11" s="235" t="s">
        <v>253</v>
      </c>
      <c r="D11" s="235" t="s">
        <v>254</v>
      </c>
      <c r="E11" s="235" t="s">
        <v>255</v>
      </c>
      <c r="F11" s="250"/>
      <c r="G11" s="250"/>
      <c r="H11" t="s">
        <v>202</v>
      </c>
      <c r="I11" t="s">
        <v>256</v>
      </c>
      <c r="N11" t="s">
        <v>257</v>
      </c>
      <c r="S11" s="260"/>
    </row>
    <row r="12" spans="1:19" x14ac:dyDescent="0.25">
      <c r="A12" s="242" t="s">
        <v>143</v>
      </c>
      <c r="B12" s="235" t="s">
        <v>258</v>
      </c>
      <c r="C12" s="235" t="s">
        <v>259</v>
      </c>
      <c r="D12" s="235" t="s">
        <v>260</v>
      </c>
      <c r="E12" s="235">
        <v>1140</v>
      </c>
      <c r="F12" s="250" t="s">
        <v>261</v>
      </c>
      <c r="G12" s="250"/>
      <c r="H12" t="s">
        <v>262</v>
      </c>
      <c r="I12" s="235" t="s">
        <v>263</v>
      </c>
      <c r="N12" t="s">
        <v>264</v>
      </c>
      <c r="S12" s="260"/>
    </row>
    <row r="13" spans="1:19" ht="15" customHeight="1" x14ac:dyDescent="0.25">
      <c r="A13" s="242" t="s">
        <v>144</v>
      </c>
      <c r="B13" s="235" t="s">
        <v>265</v>
      </c>
      <c r="C13" s="235" t="s">
        <v>266</v>
      </c>
      <c r="D13" s="235" t="s">
        <v>267</v>
      </c>
      <c r="E13" s="235" t="s">
        <v>268</v>
      </c>
      <c r="F13" s="249" t="s">
        <v>269</v>
      </c>
      <c r="G13" s="249"/>
      <c r="H13" t="s">
        <v>270</v>
      </c>
      <c r="I13" s="255" t="s">
        <v>271</v>
      </c>
      <c r="J13" s="241"/>
      <c r="N13" t="s">
        <v>272</v>
      </c>
      <c r="S13" s="260"/>
    </row>
    <row r="14" spans="1:19" x14ac:dyDescent="0.25">
      <c r="A14" s="242" t="s">
        <v>145</v>
      </c>
      <c r="B14" s="235" t="s">
        <v>273</v>
      </c>
      <c r="C14" s="235" t="s">
        <v>274</v>
      </c>
      <c r="D14" s="235" t="s">
        <v>275</v>
      </c>
      <c r="E14" s="235"/>
      <c r="F14" s="235"/>
      <c r="G14" s="235"/>
      <c r="H14" t="s">
        <v>276</v>
      </c>
      <c r="I14" s="235" t="s">
        <v>277</v>
      </c>
      <c r="N14" t="s">
        <v>278</v>
      </c>
      <c r="S14" s="260"/>
    </row>
    <row r="15" spans="1:19" x14ac:dyDescent="0.25">
      <c r="A15" s="237" t="s">
        <v>146</v>
      </c>
      <c r="B15" s="235" t="s">
        <v>279</v>
      </c>
      <c r="C15" s="235" t="s">
        <v>280</v>
      </c>
      <c r="D15" s="235" t="s">
        <v>281</v>
      </c>
      <c r="E15" s="240"/>
      <c r="F15" s="235"/>
      <c r="G15" s="235"/>
      <c r="H15" t="s">
        <v>282</v>
      </c>
      <c r="I15" t="s">
        <v>283</v>
      </c>
      <c r="J15" s="235" t="s">
        <v>284</v>
      </c>
      <c r="K15" t="s">
        <v>285</v>
      </c>
      <c r="N15" t="s">
        <v>286</v>
      </c>
      <c r="S15" s="260"/>
    </row>
    <row r="16" spans="1:19" x14ac:dyDescent="0.25">
      <c r="A16" s="237" t="s">
        <v>147</v>
      </c>
      <c r="B16" s="235" t="s">
        <v>287</v>
      </c>
      <c r="C16" s="235" t="s">
        <v>288</v>
      </c>
      <c r="D16" s="235" t="s">
        <v>289</v>
      </c>
      <c r="E16" s="235" t="s">
        <v>290</v>
      </c>
      <c r="F16" s="235"/>
      <c r="G16" s="235"/>
      <c r="H16" t="s">
        <v>291</v>
      </c>
      <c r="I16" t="s">
        <v>292</v>
      </c>
      <c r="K16" t="s">
        <v>293</v>
      </c>
      <c r="N16" t="s">
        <v>294</v>
      </c>
      <c r="S16" s="260"/>
    </row>
    <row r="17" spans="1:19" ht="15" customHeight="1" x14ac:dyDescent="0.25">
      <c r="A17" s="237" t="s">
        <v>148</v>
      </c>
      <c r="B17" s="235" t="s">
        <v>295</v>
      </c>
      <c r="C17" s="235" t="s">
        <v>198</v>
      </c>
      <c r="D17" s="235" t="s">
        <v>199</v>
      </c>
      <c r="E17" s="235" t="s">
        <v>290</v>
      </c>
      <c r="F17" s="235"/>
      <c r="G17" s="235"/>
      <c r="H17" t="s">
        <v>296</v>
      </c>
      <c r="I17" s="255" t="s">
        <v>297</v>
      </c>
      <c r="J17" s="241" t="s">
        <v>298</v>
      </c>
      <c r="K17" t="s">
        <v>293</v>
      </c>
      <c r="N17" t="s">
        <v>299</v>
      </c>
      <c r="S17" s="260"/>
    </row>
    <row r="18" spans="1:19" x14ac:dyDescent="0.25">
      <c r="A18" s="237" t="s">
        <v>149</v>
      </c>
      <c r="B18" s="235" t="s">
        <v>300</v>
      </c>
      <c r="C18" s="235" t="s">
        <v>198</v>
      </c>
      <c r="D18" s="235" t="s">
        <v>301</v>
      </c>
      <c r="E18" s="235" t="s">
        <v>290</v>
      </c>
      <c r="F18" s="235"/>
      <c r="G18" s="235"/>
      <c r="H18" t="s">
        <v>302</v>
      </c>
      <c r="I18" t="s">
        <v>303</v>
      </c>
      <c r="K18" t="s">
        <v>304</v>
      </c>
      <c r="N18" t="s">
        <v>305</v>
      </c>
      <c r="S18" s="260"/>
    </row>
    <row r="19" spans="1:19" x14ac:dyDescent="0.25">
      <c r="A19" s="237" t="s">
        <v>150</v>
      </c>
      <c r="B19" s="235" t="s">
        <v>306</v>
      </c>
      <c r="C19" s="235" t="s">
        <v>266</v>
      </c>
      <c r="D19" s="235" t="s">
        <v>307</v>
      </c>
      <c r="E19" s="235" t="s">
        <v>308</v>
      </c>
      <c r="F19" s="235"/>
      <c r="G19" s="235"/>
      <c r="H19" t="s">
        <v>309</v>
      </c>
      <c r="I19" t="s">
        <v>310</v>
      </c>
      <c r="J19" s="235">
        <v>365</v>
      </c>
      <c r="K19" t="s">
        <v>311</v>
      </c>
      <c r="N19" t="s">
        <v>312</v>
      </c>
      <c r="S19" s="260"/>
    </row>
    <row r="20" spans="1:19" ht="15" customHeight="1" x14ac:dyDescent="0.25">
      <c r="A20" s="237" t="s">
        <v>151</v>
      </c>
      <c r="B20" s="235" t="s">
        <v>313</v>
      </c>
      <c r="C20" s="235" t="s">
        <v>314</v>
      </c>
      <c r="D20" s="235" t="s">
        <v>315</v>
      </c>
      <c r="E20" s="235"/>
      <c r="F20" s="235"/>
      <c r="G20" s="235"/>
      <c r="H20" t="s">
        <v>316</v>
      </c>
      <c r="I20" s="255" t="s">
        <v>317</v>
      </c>
      <c r="J20" s="241">
        <v>550</v>
      </c>
      <c r="K20" t="s">
        <v>318</v>
      </c>
      <c r="N20" t="s">
        <v>319</v>
      </c>
      <c r="S20" s="260"/>
    </row>
    <row r="21" spans="1:19" x14ac:dyDescent="0.25">
      <c r="A21" s="237" t="s">
        <v>152</v>
      </c>
      <c r="B21" s="235" t="s">
        <v>320</v>
      </c>
      <c r="C21" s="235" t="s">
        <v>321</v>
      </c>
      <c r="D21" s="235" t="s">
        <v>322</v>
      </c>
      <c r="E21" s="235" t="s">
        <v>323</v>
      </c>
      <c r="F21" s="235"/>
      <c r="G21" s="235"/>
      <c r="H21" t="s">
        <v>324</v>
      </c>
      <c r="I21" t="s">
        <v>325</v>
      </c>
      <c r="J21" s="235">
        <v>352</v>
      </c>
      <c r="K21" t="s">
        <v>326</v>
      </c>
      <c r="N21" t="s">
        <v>327</v>
      </c>
      <c r="S21" s="260"/>
    </row>
    <row r="22" spans="1:19" ht="15" customHeight="1" x14ac:dyDescent="0.25">
      <c r="A22" s="234" t="s">
        <v>153</v>
      </c>
      <c r="B22" s="235" t="s">
        <v>328</v>
      </c>
      <c r="C22" t="s">
        <v>288</v>
      </c>
      <c r="D22" s="235" t="s">
        <v>289</v>
      </c>
      <c r="E22" s="241" t="s">
        <v>329</v>
      </c>
      <c r="F22" s="235"/>
      <c r="G22" s="235"/>
      <c r="H22" t="s">
        <v>330</v>
      </c>
      <c r="I22" s="235" t="s">
        <v>331</v>
      </c>
      <c r="J22" s="235">
        <v>420</v>
      </c>
      <c r="K22" t="s">
        <v>332</v>
      </c>
      <c r="N22" t="s">
        <v>333</v>
      </c>
      <c r="S22" s="260"/>
    </row>
    <row r="23" spans="1:19" ht="15.75" customHeight="1" x14ac:dyDescent="0.25">
      <c r="A23" s="237" t="s">
        <v>154</v>
      </c>
      <c r="B23" s="235" t="s">
        <v>334</v>
      </c>
      <c r="C23" s="235" t="s">
        <v>335</v>
      </c>
      <c r="D23" s="235" t="s">
        <v>289</v>
      </c>
      <c r="E23" s="241" t="s">
        <v>323</v>
      </c>
      <c r="F23" s="235"/>
      <c r="G23" s="235"/>
      <c r="H23" t="s">
        <v>336</v>
      </c>
      <c r="I23" t="s">
        <v>337</v>
      </c>
      <c r="K23" t="s">
        <v>293</v>
      </c>
      <c r="N23" t="s">
        <v>338</v>
      </c>
      <c r="S23" s="260"/>
    </row>
    <row r="24" spans="1:19" ht="18.75" customHeight="1" x14ac:dyDescent="0.25">
      <c r="A24" s="237" t="s">
        <v>155</v>
      </c>
      <c r="B24" s="235" t="s">
        <v>339</v>
      </c>
      <c r="C24" t="s">
        <v>288</v>
      </c>
      <c r="D24" s="251" t="s">
        <v>289</v>
      </c>
      <c r="E24" s="241" t="s">
        <v>340</v>
      </c>
      <c r="F24" s="235"/>
      <c r="G24" s="235"/>
      <c r="H24" t="s">
        <v>341</v>
      </c>
      <c r="I24" t="s">
        <v>342</v>
      </c>
      <c r="K24" t="s">
        <v>285</v>
      </c>
      <c r="N24" t="s">
        <v>343</v>
      </c>
      <c r="S24" s="260"/>
    </row>
    <row r="25" spans="1:19" ht="18" customHeight="1" x14ac:dyDescent="0.25">
      <c r="A25" s="237" t="s">
        <v>156</v>
      </c>
      <c r="B25" s="235" t="s">
        <v>344</v>
      </c>
      <c r="C25" t="s">
        <v>335</v>
      </c>
      <c r="D25" t="s">
        <v>345</v>
      </c>
      <c r="E25" s="241" t="s">
        <v>346</v>
      </c>
      <c r="F25" s="235"/>
      <c r="G25" s="235"/>
      <c r="H25" t="s">
        <v>347</v>
      </c>
      <c r="I25" t="s">
        <v>348</v>
      </c>
      <c r="K25" t="s">
        <v>318</v>
      </c>
      <c r="N25" t="s">
        <v>349</v>
      </c>
      <c r="S25" s="260"/>
    </row>
    <row r="26" spans="1:19" ht="27.75" customHeight="1" x14ac:dyDescent="0.25">
      <c r="A26" s="237" t="s">
        <v>157</v>
      </c>
      <c r="B26" s="235" t="s">
        <v>350</v>
      </c>
      <c r="C26" s="235" t="s">
        <v>351</v>
      </c>
      <c r="D26" s="235" t="s">
        <v>322</v>
      </c>
      <c r="E26" s="241" t="s">
        <v>352</v>
      </c>
      <c r="F26" s="235"/>
      <c r="G26" s="235"/>
      <c r="H26" t="s">
        <v>353</v>
      </c>
      <c r="I26" t="s">
        <v>354</v>
      </c>
      <c r="K26" t="s">
        <v>311</v>
      </c>
      <c r="N26" t="s">
        <v>355</v>
      </c>
      <c r="S26" s="260"/>
    </row>
    <row r="27" spans="1:19" ht="24.75" customHeight="1" x14ac:dyDescent="0.25">
      <c r="A27" s="234" t="s">
        <v>158</v>
      </c>
      <c r="B27" s="235" t="s">
        <v>356</v>
      </c>
      <c r="C27" s="235" t="s">
        <v>351</v>
      </c>
      <c r="D27" s="235" t="s">
        <v>322</v>
      </c>
      <c r="E27" s="241" t="s">
        <v>357</v>
      </c>
      <c r="F27" s="235"/>
      <c r="G27" s="235"/>
      <c r="H27" t="s">
        <v>358</v>
      </c>
      <c r="I27" t="s">
        <v>359</v>
      </c>
      <c r="J27" s="235">
        <v>831</v>
      </c>
      <c r="K27" t="s">
        <v>360</v>
      </c>
      <c r="N27" t="s">
        <v>361</v>
      </c>
      <c r="S27" s="260"/>
    </row>
    <row r="28" spans="1:19" ht="15.75" customHeight="1" thickBot="1" x14ac:dyDescent="0.3">
      <c r="A28" s="238" t="s">
        <v>159</v>
      </c>
      <c r="B28" s="239" t="s">
        <v>362</v>
      </c>
      <c r="C28" s="239" t="s">
        <v>363</v>
      </c>
      <c r="D28" s="239" t="s">
        <v>364</v>
      </c>
      <c r="E28" s="243" t="s">
        <v>365</v>
      </c>
      <c r="F28" s="239"/>
      <c r="G28" s="239"/>
      <c r="H28" s="236" t="s">
        <v>366</v>
      </c>
      <c r="I28" s="236" t="s">
        <v>367</v>
      </c>
      <c r="J28" s="239" t="s">
        <v>368</v>
      </c>
      <c r="K28" s="236" t="s">
        <v>360</v>
      </c>
      <c r="L28" s="236" t="s">
        <v>369</v>
      </c>
      <c r="M28" s="257" t="s">
        <v>370</v>
      </c>
      <c r="N28" s="236" t="s">
        <v>371</v>
      </c>
      <c r="O28" s="236"/>
      <c r="P28" s="236"/>
      <c r="Q28" s="236"/>
      <c r="R28" s="236"/>
      <c r="S28" s="261"/>
    </row>
  </sheetData>
  <hyperlinks>
    <hyperlink ref="M7" r:id="rId1" xr:uid="{DD96C811-5E24-4B04-8716-7601C4F9069C}"/>
    <hyperlink ref="M8" r:id="rId2" xr:uid="{00B2E8EA-9A7A-46E8-94DE-9EBA7AA9AB1D}"/>
    <hyperlink ref="M6" r:id="rId3" location="sec0006" xr:uid="{4DDA4104-ABB4-41D1-897F-3C233E7E80B8}"/>
    <hyperlink ref="M4" r:id="rId4" location="sec0006" xr:uid="{C66A11DF-B85C-4A43-A642-CBF7608F9D53}"/>
    <hyperlink ref="M28" r:id="rId5" xr:uid="{7C78B322-1F2C-482C-AFB2-0A317F063FC6}"/>
    <hyperlink ref="M3" r:id="rId6" xr:uid="{5743D3C2-F328-4A94-87D9-A388CB84CDD8}"/>
    <hyperlink ref="M9" r:id="rId7" xr:uid="{89A9A703-F512-4FD8-866F-31E64B6E0A69}"/>
    <hyperlink ref="F5" r:id="rId8" xr:uid="{CC33991F-129C-4815-93C2-5475E3EA0416}"/>
    <hyperlink ref="F4" r:id="rId9" xr:uid="{B5CC6838-6D1D-4833-907B-32E915B7DF77}"/>
    <hyperlink ref="F3" r:id="rId10" xr:uid="{84667C89-65C9-4AE2-A88C-8AE785191097}"/>
    <hyperlink ref="F13" r:id="rId11" xr:uid="{73519E05-D484-4862-8DBF-C674C39E90E7}"/>
    <hyperlink ref="F12" r:id="rId12" xr:uid="{73DE8448-FE26-4FDD-B52A-8A7D0610C37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938A798977AF1478E22870F7FBAC487" ma:contentTypeVersion="11" ma:contentTypeDescription="Ein neues Dokument erstellen." ma:contentTypeScope="" ma:versionID="ba58fa2355b42f64127aa3a164f52d73">
  <xsd:schema xmlns:xsd="http://www.w3.org/2001/XMLSchema" xmlns:xs="http://www.w3.org/2001/XMLSchema" xmlns:p="http://schemas.microsoft.com/office/2006/metadata/properties" xmlns:ns2="91cf6a65-7abb-478d-88cd-3f3506d5d4a7" xmlns:ns3="0c40e6f4-6aff-4beb-8b8a-2a2294c2b839" targetNamespace="http://schemas.microsoft.com/office/2006/metadata/properties" ma:root="true" ma:fieldsID="1e9e20e3141d424ff8c53112cfada219" ns2:_="" ns3:_="">
    <xsd:import namespace="91cf6a65-7abb-478d-88cd-3f3506d5d4a7"/>
    <xsd:import namespace="0c40e6f4-6aff-4beb-8b8a-2a2294c2b8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6a65-7abb-478d-88cd-3f3506d5d4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6eb20c4f-c5c2-492b-9954-d638c64bfe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40e6f4-6aff-4beb-8b8a-2a2294c2b83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292bdf4-bf6a-4970-8091-c23eb11ad75b}" ma:internalName="TaxCatchAll" ma:showField="CatchAllData" ma:web="0c40e6f4-6aff-4beb-8b8a-2a2294c2b8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40e6f4-6aff-4beb-8b8a-2a2294c2b839" xsi:nil="true"/>
    <lcf76f155ced4ddcb4097134ff3c332f xmlns="91cf6a65-7abb-478d-88cd-3f3506d5d4a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61E873-7DF4-422B-8748-1E3770314A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cf6a65-7abb-478d-88cd-3f3506d5d4a7"/>
    <ds:schemaRef ds:uri="0c40e6f4-6aff-4beb-8b8a-2a2294c2b8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D382CB-1D09-4BA9-ADCC-D1511AA686D9}">
  <ds:schemaRefs>
    <ds:schemaRef ds:uri="http://schemas.microsoft.com/office/2006/metadata/properties"/>
    <ds:schemaRef ds:uri="http://schemas.microsoft.com/office/infopath/2007/PartnerControls"/>
    <ds:schemaRef ds:uri="0c40e6f4-6aff-4beb-8b8a-2a2294c2b839"/>
    <ds:schemaRef ds:uri="91cf6a65-7abb-478d-88cd-3f3506d5d4a7"/>
  </ds:schemaRefs>
</ds:datastoreItem>
</file>

<file path=customXml/itemProps3.xml><?xml version="1.0" encoding="utf-8"?>
<ds:datastoreItem xmlns:ds="http://schemas.openxmlformats.org/officeDocument/2006/customXml" ds:itemID="{85850FA3-DC62-43D3-BC5B-53CF3FECFA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General data</vt:lpstr>
      <vt:lpstr>Process_collection</vt:lpstr>
      <vt:lpstr>MFA_Template_collection</vt:lpstr>
      <vt:lpstr>Process_sorting_flow_1</vt:lpstr>
      <vt:lpstr>MFA_Template_sorting_flow_1</vt:lpstr>
      <vt:lpstr>Process_sorting_flow_2_PP</vt:lpstr>
      <vt:lpstr>MFA_Template_sorting_flow_2_PP</vt:lpstr>
      <vt:lpstr>Process_sorting_flow_2_PS</vt:lpstr>
      <vt:lpstr>MFA_Template_sorting_flow_2_PS</vt:lpstr>
      <vt:lpstr>Process_sorting_flow_2_PET</vt:lpstr>
      <vt:lpstr>MFA_Template_sorting_flow_2_PET</vt:lpstr>
      <vt:lpstr>Process_sorting_flow_2_HDPE</vt:lpstr>
      <vt:lpstr>MFA_Template_sorting_flow_2_HDP</vt:lpstr>
      <vt:lpstr>Process_sorting_flow_2_Film</vt:lpstr>
      <vt:lpstr>MFA_Template_sorting_flow_2_Fil</vt:lpstr>
      <vt:lpstr>Process_recycling_PP</vt:lpstr>
      <vt:lpstr>Process_recycling_PS</vt:lpstr>
      <vt:lpstr>Process_recycling_PET</vt:lpstr>
      <vt:lpstr>Process_recycling_HDPE</vt:lpstr>
      <vt:lpstr>Process_recycling_Film</vt:lpstr>
      <vt:lpstr>Process_recycling_MP</vt:lpstr>
      <vt:lpstr>Material_Table</vt:lpstr>
    </vt:vector>
  </TitlesOfParts>
  <Manager/>
  <Company>Fraunhofer 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Dückert, Elisabeth</dc:creator>
  <cp:keywords/>
  <dc:description/>
  <cp:lastModifiedBy>Nova, Nabodita</cp:lastModifiedBy>
  <cp:revision/>
  <dcterms:created xsi:type="dcterms:W3CDTF">2016-08-18T14:22:56Z</dcterms:created>
  <dcterms:modified xsi:type="dcterms:W3CDTF">2025-02-01T13:10:37Z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0x010100C938A798977AF1478E22870F7FBAC487</vt:lpwstr>
  </property>
</Properties>
</file>