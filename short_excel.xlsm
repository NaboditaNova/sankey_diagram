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DieseArbeitsmappe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D025A91D-C5EB-4A1A-B869-07597028E838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General data" sheetId="4" r:id="rId1"/>
    <sheet name="Process_collection" sheetId="15" r:id="rId2"/>
    <sheet name="Process_sorting_flow_1" sheetId="11" r:id="rId3"/>
    <sheet name="Process_sorting_flow_2_PP" sheetId="14" r:id="rId4"/>
    <sheet name="Process_recycling_PP" sheetId="7" r:id="rId5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91" i="15" l="1"/>
  <c r="Q91" i="15"/>
  <c r="O91" i="15"/>
  <c r="T90" i="15"/>
  <c r="Q90" i="15"/>
  <c r="O90" i="15"/>
  <c r="T89" i="15"/>
  <c r="Q89" i="15"/>
  <c r="O89" i="15"/>
  <c r="T88" i="15"/>
  <c r="Q88" i="15"/>
  <c r="O88" i="15"/>
  <c r="T87" i="15"/>
  <c r="Q87" i="15"/>
  <c r="O87" i="15"/>
  <c r="T86" i="15"/>
  <c r="Q86" i="15"/>
  <c r="O86" i="15"/>
  <c r="T85" i="15"/>
  <c r="Q85" i="15"/>
  <c r="O85" i="15"/>
  <c r="T84" i="15"/>
  <c r="Q84" i="15"/>
  <c r="O84" i="15"/>
  <c r="T83" i="15"/>
  <c r="Q83" i="15"/>
  <c r="O83" i="15"/>
  <c r="T82" i="15"/>
  <c r="Q82" i="15"/>
  <c r="O82" i="15"/>
  <c r="T81" i="15"/>
  <c r="Q81" i="15"/>
  <c r="O81" i="15"/>
  <c r="T80" i="15"/>
  <c r="Q80" i="15"/>
  <c r="O80" i="15"/>
  <c r="T79" i="15"/>
  <c r="Q79" i="15"/>
  <c r="O79" i="15"/>
  <c r="T76" i="15"/>
  <c r="S76" i="15"/>
  <c r="Q76" i="15"/>
  <c r="P76" i="15"/>
  <c r="T29" i="15"/>
  <c r="Q29" i="15"/>
  <c r="O29" i="15"/>
  <c r="T28" i="15"/>
  <c r="Q28" i="15"/>
  <c r="O28" i="15"/>
  <c r="T27" i="15"/>
  <c r="Q27" i="15"/>
  <c r="O27" i="15"/>
  <c r="T26" i="15"/>
  <c r="Q26" i="15"/>
  <c r="O26" i="15"/>
  <c r="T25" i="15"/>
  <c r="Q25" i="15"/>
  <c r="O25" i="15"/>
  <c r="T24" i="15"/>
  <c r="Q24" i="15"/>
  <c r="O24" i="15"/>
  <c r="T23" i="15"/>
  <c r="Q23" i="15"/>
  <c r="O23" i="15"/>
  <c r="T22" i="15"/>
  <c r="Q22" i="15"/>
  <c r="O22" i="15"/>
  <c r="T21" i="15"/>
  <c r="Q21" i="15"/>
  <c r="O21" i="15"/>
  <c r="T20" i="15"/>
  <c r="Q20" i="15"/>
  <c r="O20" i="15"/>
  <c r="T19" i="15"/>
  <c r="Q19" i="15"/>
  <c r="O19" i="15"/>
  <c r="T18" i="15"/>
  <c r="Q18" i="15"/>
  <c r="O18" i="15"/>
  <c r="T17" i="15"/>
  <c r="O17" i="15"/>
  <c r="T16" i="15"/>
  <c r="Q16" i="15"/>
  <c r="O16" i="15"/>
  <c r="T15" i="15"/>
  <c r="Q15" i="15"/>
  <c r="O15" i="15"/>
  <c r="T12" i="15"/>
  <c r="S12" i="15"/>
  <c r="Q12" i="15"/>
  <c r="P12" i="15"/>
  <c r="T91" i="14"/>
  <c r="Q91" i="14"/>
  <c r="O91" i="14"/>
  <c r="T90" i="14"/>
  <c r="Q90" i="14"/>
  <c r="O90" i="14"/>
  <c r="T89" i="14"/>
  <c r="Q89" i="14"/>
  <c r="O89" i="14"/>
  <c r="T88" i="14"/>
  <c r="Q88" i="14"/>
  <c r="O88" i="14"/>
  <c r="T87" i="14"/>
  <c r="Q87" i="14"/>
  <c r="O87" i="14"/>
  <c r="T86" i="14"/>
  <c r="Q86" i="14"/>
  <c r="O86" i="14"/>
  <c r="T85" i="14"/>
  <c r="Q85" i="14"/>
  <c r="O85" i="14"/>
  <c r="T84" i="14"/>
  <c r="Q84" i="14"/>
  <c r="O84" i="14"/>
  <c r="T83" i="14"/>
  <c r="Q83" i="14"/>
  <c r="O83" i="14"/>
  <c r="T82" i="14"/>
  <c r="Q82" i="14"/>
  <c r="O82" i="14"/>
  <c r="T81" i="14"/>
  <c r="Q81" i="14"/>
  <c r="O81" i="14"/>
  <c r="T80" i="14"/>
  <c r="Q80" i="14"/>
  <c r="O80" i="14"/>
  <c r="T79" i="14"/>
  <c r="Q79" i="14"/>
  <c r="O79" i="14"/>
  <c r="T76" i="14"/>
  <c r="S76" i="14"/>
  <c r="Q76" i="14"/>
  <c r="P76" i="14"/>
  <c r="T29" i="14"/>
  <c r="Q29" i="14"/>
  <c r="O29" i="14"/>
  <c r="T28" i="14"/>
  <c r="Q28" i="14"/>
  <c r="O28" i="14"/>
  <c r="T27" i="14"/>
  <c r="Q27" i="14"/>
  <c r="O27" i="14"/>
  <c r="T26" i="14"/>
  <c r="Q26" i="14"/>
  <c r="O26" i="14"/>
  <c r="T25" i="14"/>
  <c r="Q25" i="14"/>
  <c r="O25" i="14"/>
  <c r="T24" i="14"/>
  <c r="Q24" i="14"/>
  <c r="O24" i="14"/>
  <c r="T23" i="14"/>
  <c r="Q23" i="14"/>
  <c r="O23" i="14"/>
  <c r="T22" i="14"/>
  <c r="Q22" i="14"/>
  <c r="O22" i="14"/>
  <c r="T21" i="14"/>
  <c r="Q21" i="14"/>
  <c r="O21" i="14"/>
  <c r="T20" i="14"/>
  <c r="Q20" i="14"/>
  <c r="O20" i="14"/>
  <c r="T19" i="14"/>
  <c r="Q19" i="14"/>
  <c r="O19" i="14"/>
  <c r="T18" i="14"/>
  <c r="Q18" i="14"/>
  <c r="O18" i="14"/>
  <c r="T17" i="14"/>
  <c r="O17" i="14"/>
  <c r="T16" i="14"/>
  <c r="Q16" i="14"/>
  <c r="O16" i="14"/>
  <c r="T15" i="14"/>
  <c r="Q15" i="14"/>
  <c r="O15" i="14"/>
  <c r="T12" i="14"/>
  <c r="S12" i="14"/>
  <c r="Q12" i="14"/>
  <c r="P12" i="14"/>
  <c r="T91" i="11"/>
  <c r="Q91" i="11"/>
  <c r="O91" i="11"/>
  <c r="T90" i="11"/>
  <c r="Q90" i="11"/>
  <c r="O90" i="11"/>
  <c r="T89" i="11"/>
  <c r="Q89" i="11"/>
  <c r="O89" i="11"/>
  <c r="T88" i="11"/>
  <c r="Q88" i="11"/>
  <c r="O88" i="11"/>
  <c r="T87" i="11"/>
  <c r="Q87" i="11"/>
  <c r="O87" i="11"/>
  <c r="T86" i="11"/>
  <c r="Q86" i="11"/>
  <c r="O86" i="11"/>
  <c r="T85" i="11"/>
  <c r="Q85" i="11"/>
  <c r="O85" i="11"/>
  <c r="T84" i="11"/>
  <c r="Q84" i="11"/>
  <c r="O84" i="11"/>
  <c r="T83" i="11"/>
  <c r="Q83" i="11"/>
  <c r="O83" i="11"/>
  <c r="T82" i="11"/>
  <c r="Q82" i="11"/>
  <c r="O82" i="11"/>
  <c r="T81" i="11"/>
  <c r="Q81" i="11"/>
  <c r="O81" i="11"/>
  <c r="T80" i="11"/>
  <c r="Q80" i="11"/>
  <c r="O80" i="11"/>
  <c r="T79" i="11"/>
  <c r="Q79" i="11"/>
  <c r="O79" i="11"/>
  <c r="T76" i="11"/>
  <c r="S76" i="11"/>
  <c r="Q76" i="11"/>
  <c r="P76" i="11"/>
  <c r="T29" i="11"/>
  <c r="Q29" i="11"/>
  <c r="O29" i="11"/>
  <c r="T28" i="11"/>
  <c r="Q28" i="11"/>
  <c r="O28" i="11"/>
  <c r="T27" i="11"/>
  <c r="Q27" i="11"/>
  <c r="O27" i="11"/>
  <c r="T26" i="11"/>
  <c r="Q26" i="11"/>
  <c r="O26" i="11"/>
  <c r="T25" i="11"/>
  <c r="Q25" i="11"/>
  <c r="O25" i="11"/>
  <c r="T24" i="11"/>
  <c r="Q24" i="11"/>
  <c r="O24" i="11"/>
  <c r="T23" i="11"/>
  <c r="Q23" i="11"/>
  <c r="O23" i="11"/>
  <c r="T22" i="11"/>
  <c r="Q22" i="11"/>
  <c r="O22" i="11"/>
  <c r="T21" i="11"/>
  <c r="Q21" i="11"/>
  <c r="O21" i="11"/>
  <c r="T20" i="11"/>
  <c r="Q20" i="11"/>
  <c r="O20" i="11"/>
  <c r="T19" i="11"/>
  <c r="Q19" i="11"/>
  <c r="O19" i="11"/>
  <c r="T18" i="11"/>
  <c r="Q18" i="11"/>
  <c r="O18" i="11"/>
  <c r="T17" i="11"/>
  <c r="O17" i="11"/>
  <c r="T16" i="11"/>
  <c r="Q16" i="11"/>
  <c r="O16" i="11"/>
  <c r="T15" i="11"/>
  <c r="Q15" i="11"/>
  <c r="O15" i="11"/>
  <c r="T12" i="11"/>
  <c r="S12" i="11"/>
  <c r="Q12" i="11"/>
  <c r="P12" i="11"/>
  <c r="O15" i="7"/>
  <c r="T25" i="7"/>
  <c r="T26" i="7"/>
  <c r="T27" i="7"/>
  <c r="T28" i="7"/>
  <c r="T29" i="7"/>
  <c r="T17" i="7"/>
  <c r="T18" i="7"/>
  <c r="T19" i="7"/>
  <c r="T20" i="7"/>
  <c r="T21" i="7"/>
  <c r="T22" i="7"/>
  <c r="T23" i="7"/>
  <c r="T24" i="7"/>
  <c r="Q19" i="7"/>
  <c r="Q20" i="7"/>
  <c r="Q21" i="7"/>
  <c r="Q22" i="7"/>
  <c r="Q23" i="7"/>
  <c r="Q24" i="7"/>
  <c r="Q25" i="7"/>
  <c r="Q26" i="7"/>
  <c r="Q27" i="7"/>
  <c r="Q28" i="7"/>
  <c r="Q29" i="7"/>
  <c r="O28" i="7"/>
  <c r="O29" i="7"/>
  <c r="O27" i="7"/>
  <c r="O17" i="7"/>
  <c r="O18" i="7"/>
  <c r="Q18" i="7"/>
  <c r="O19" i="7"/>
  <c r="O20" i="7"/>
  <c r="O21" i="7"/>
  <c r="O22" i="7"/>
  <c r="O23" i="7"/>
  <c r="O24" i="7"/>
  <c r="O25" i="7"/>
  <c r="O26" i="7"/>
  <c r="O81" i="7"/>
  <c r="Q81" i="7"/>
  <c r="T81" i="7"/>
  <c r="O82" i="7"/>
  <c r="Q82" i="7"/>
  <c r="T82" i="7"/>
  <c r="O83" i="7"/>
  <c r="Q83" i="7"/>
  <c r="T83" i="7"/>
  <c r="O84" i="7"/>
  <c r="Q84" i="7"/>
  <c r="T84" i="7"/>
  <c r="O85" i="7"/>
  <c r="Q85" i="7"/>
  <c r="T85" i="7"/>
  <c r="O86" i="7"/>
  <c r="Q86" i="7"/>
  <c r="T86" i="7"/>
  <c r="O87" i="7"/>
  <c r="Q87" i="7"/>
  <c r="T87" i="7"/>
  <c r="O88" i="7"/>
  <c r="Q88" i="7"/>
  <c r="T88" i="7"/>
  <c r="O89" i="7"/>
  <c r="Q89" i="7"/>
  <c r="T89" i="7"/>
  <c r="O90" i="7"/>
  <c r="Q90" i="7"/>
  <c r="T90" i="7"/>
  <c r="O91" i="7"/>
  <c r="Q91" i="7"/>
  <c r="T91" i="7"/>
  <c r="T80" i="7"/>
  <c r="T79" i="7"/>
  <c r="T15" i="7"/>
  <c r="Q80" i="7"/>
  <c r="Q79" i="7"/>
  <c r="T16" i="7"/>
  <c r="Q15" i="7"/>
  <c r="Q16" i="7"/>
  <c r="O80" i="7"/>
  <c r="O79" i="7"/>
  <c r="O16" i="7"/>
  <c r="T76" i="7"/>
  <c r="S76" i="7"/>
  <c r="Q76" i="7"/>
  <c r="P76" i="7"/>
  <c r="T12" i="7"/>
  <c r="S12" i="7"/>
  <c r="Q12" i="7"/>
  <c r="P1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C0824376-F967-4329-9197-033571B9C4BA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A8320310-BDE9-446D-A892-244FCB034C26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801D0C48-ED95-4F7F-B9F9-DFB240A0CDBD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F2FACB60-7922-41BD-AEB0-F3CCA2F20F58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F72CF8EC-10E1-40C6-828F-CED139673D2F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504055FD-FA6C-4730-8A56-4EDC51448E4E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3" authorId="1" shapeId="0" xr:uid="{45042926-5133-41BF-952D-670F33B617D3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986B3E8C-AF0E-4603-AFA3-B5083EB0733A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16181062-2D55-4DD4-A7EA-9F869C97A62F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B592B165-CFFC-41DE-9B40-277135FADCFC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D18FCC80-C827-49B2-AF6D-7ED3EAFDBDD9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CBE083CC-7D65-4095-8F19-03C0B7F9137E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1C836BFB-4BE1-4A52-97F2-D6327550A7EF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0512B267-1C9E-4A9F-8B74-8C69357CCE21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5AB95FA5-0D11-41F7-9ACB-281A45F7BA11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3" authorId="1" shapeId="0" xr:uid="{1F9F85E8-2C2B-4C0D-8136-6D8FD21FD7C7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B39112FB-06D3-4212-B03F-55A436A56C36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E5742783-7869-43DA-B0E6-9FD564FDC885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196ECA99-ED6E-4252-9C47-A47BA6D8D9E6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57039927-7CDD-416C-A57F-A04002D0B208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0FE3EBEE-5302-47C7-8E7E-B339ABE911BD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D6CD6A84-5E16-4983-83F2-9BECA8A75787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33E1933F-83FC-4D06-994F-D444CDFD741F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0DA48E4E-8567-4885-9D48-50D2C32743BA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3" authorId="1" shapeId="0" xr:uid="{9023819B-10A8-47DE-B4D5-5437C50A6699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1031CAF0-D11E-4926-8FEC-3D3AD7F022FB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BEE79371-19F6-4368-ADE6-5990067ED347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78F0BF87-B947-4F8D-BDAF-E94FA85D0839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BE673757-DEDD-442B-B32F-D86884A2F97E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A98E5D45-9CDF-45C1-ABBE-63A0E0FCB37E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CFD86492-AD67-4F32-A83B-5FC83D121CC1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CEEEBA99-E37D-4561-9817-86BA9CE671FD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B8D553D0-93F4-4F50-991D-6D0B7399D937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3" authorId="1" shapeId="0" xr:uid="{C9D152EA-04AE-4FB3-BB52-478929133474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A114E413-A814-4E51-8726-A3C276F2C34C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26E5DC9A-2FE9-40B2-B07E-13769EE9F2A9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sharedStrings.xml><?xml version="1.0" encoding="utf-8"?>
<sst xmlns="http://schemas.openxmlformats.org/spreadsheetml/2006/main" count="874" uniqueCount="135">
  <si>
    <t>Data collection</t>
  </si>
  <si>
    <t>PARTNER</t>
  </si>
  <si>
    <t>Contact person</t>
  </si>
  <si>
    <t>Mar Daniel</t>
  </si>
  <si>
    <t>E-Mail:</t>
  </si>
  <si>
    <t>Phone:</t>
  </si>
  <si>
    <t>Untersuchungsparameter</t>
  </si>
  <si>
    <t>Functional unit</t>
  </si>
  <si>
    <t>Date of compilation</t>
  </si>
  <si>
    <t>10.12.2024</t>
  </si>
  <si>
    <t>Datenbank Information</t>
  </si>
  <si>
    <t>Background Database</t>
  </si>
  <si>
    <t>ecoinvent v3.8 cutoff</t>
  </si>
  <si>
    <t>Database for this process</t>
  </si>
  <si>
    <t>IWKS W4F Project</t>
  </si>
  <si>
    <t>The inputs, outputs and technology-related parameters are determined for each process (see process diagram).</t>
  </si>
  <si>
    <t>General process data</t>
  </si>
  <si>
    <t>Enter a general explanation of the process here</t>
  </si>
  <si>
    <t>The reference flow is a selected flow to which all other values refer (unless otherwise specified)</t>
  </si>
  <si>
    <t>Process description</t>
  </si>
  <si>
    <t>Input/Output: all values refer to the reference flow</t>
  </si>
  <si>
    <r>
      <t>Specify process properties numerically in the</t>
    </r>
    <r>
      <rPr>
        <b/>
        <sz val="11"/>
        <color theme="1"/>
        <rFont val="Calibri"/>
        <family val="2"/>
        <scheme val="minor"/>
      </rPr>
      <t xml:space="preserve"> Value</t>
    </r>
    <r>
      <rPr>
        <sz val="11"/>
        <color theme="1"/>
        <rFont val="Calibri"/>
        <family val="2"/>
        <scheme val="minor"/>
      </rPr>
      <t xml:space="preserve"> field</t>
    </r>
  </si>
  <si>
    <r>
      <t xml:space="preserve">Enter </t>
    </r>
    <r>
      <rPr>
        <b/>
        <sz val="11"/>
        <color theme="1"/>
        <rFont val="Calibri"/>
        <family val="2"/>
        <scheme val="minor"/>
      </rPr>
      <t>description</t>
    </r>
    <r>
      <rPr>
        <sz val="11"/>
        <color theme="1"/>
        <rFont val="Calibri"/>
        <family val="2"/>
        <scheme val="minor"/>
      </rPr>
      <t xml:space="preserve"> as text</t>
    </r>
  </si>
  <si>
    <t>Flow description</t>
  </si>
  <si>
    <t>properties are assigned to each flow</t>
  </si>
  <si>
    <t>the list of properties can be extended as required</t>
  </si>
  <si>
    <t>Specify flow properties numerically in the Value field</t>
  </si>
  <si>
    <t>In general, the following should be noted:</t>
  </si>
  <si>
    <t>- As many cells as possible should be filled in. --&gt; The more information, the more exact the result</t>
  </si>
  <si>
    <t>- Do not count anything twice (e.g. credit notes, staff requirements, etc.)</t>
  </si>
  <si>
    <t>- If necessary, additional lines can be inserted in each category.</t>
  </si>
  <si>
    <t>Location</t>
  </si>
  <si>
    <t>TU Darmstadt</t>
  </si>
  <si>
    <t>Reference flow</t>
  </si>
  <si>
    <t>please write amount here, e. g. '1000'</t>
  </si>
  <si>
    <t>*All values are related to the reference unit unless otherwise specified</t>
  </si>
  <si>
    <t>scaling and non-scaling flow properties</t>
  </si>
  <si>
    <t>Properties</t>
  </si>
  <si>
    <t>monetary_value</t>
  </si>
  <si>
    <t>EUR</t>
  </si>
  <si>
    <t>climate_change_total</t>
  </si>
  <si>
    <t>kg CO2-eq</t>
  </si>
  <si>
    <t>Process</t>
  </si>
  <si>
    <t>Process typ</t>
  </si>
  <si>
    <t>Collection</t>
  </si>
  <si>
    <t>Input flows</t>
  </si>
  <si>
    <t>Provider Data in Database</t>
  </si>
  <si>
    <t>Input</t>
  </si>
  <si>
    <t>Name</t>
  </si>
  <si>
    <t>Description</t>
  </si>
  <si>
    <t>Value</t>
  </si>
  <si>
    <t>Unit</t>
  </si>
  <si>
    <t>slope</t>
  </si>
  <si>
    <t>base</t>
  </si>
  <si>
    <t>Reference</t>
  </si>
  <si>
    <t>Database Provider Activity</t>
  </si>
  <si>
    <t>UUID</t>
  </si>
  <si>
    <t>Flow</t>
  </si>
  <si>
    <t xml:space="preserve">Value </t>
  </si>
  <si>
    <t xml:space="preserve">Unit </t>
  </si>
  <si>
    <t>In each category any number of lines can be added</t>
  </si>
  <si>
    <t>Please enter the name of the flow here or add already registered flows</t>
  </si>
  <si>
    <t>Specifications, Quality, Supply Chain, Supplier location, means of transport</t>
  </si>
  <si>
    <t>Amount</t>
  </si>
  <si>
    <t>best in SI</t>
  </si>
  <si>
    <t>scaling factor</t>
  </si>
  <si>
    <t>non scaling factor</t>
  </si>
  <si>
    <t>Data measured/estinated,  measurement errors, assumptions, literature sources</t>
  </si>
  <si>
    <t>Automitacilly fills in the name of the flow</t>
  </si>
  <si>
    <t>Costs, market price, … realted to one unit</t>
  </si>
  <si>
    <t>Lifetime of product</t>
  </si>
  <si>
    <t>Input material</t>
  </si>
  <si>
    <t>Energy</t>
  </si>
  <si>
    <t>Personnel</t>
  </si>
  <si>
    <t>Generic Flows</t>
  </si>
  <si>
    <t>Technology</t>
  </si>
  <si>
    <t>Process Parameters</t>
  </si>
  <si>
    <t>Scalable</t>
  </si>
  <si>
    <t>Specification,computational path,  range of value,</t>
  </si>
  <si>
    <t>0: unscalble; 1:  scable</t>
  </si>
  <si>
    <t>Facility parameters</t>
  </si>
  <si>
    <t>Lebensdauer</t>
  </si>
  <si>
    <t>a</t>
  </si>
  <si>
    <t>TRL</t>
  </si>
  <si>
    <t>Theoretische Betriebszeit</t>
  </si>
  <si>
    <t>€</t>
  </si>
  <si>
    <t>Durchsatz</t>
  </si>
  <si>
    <t>Investment Maschinen und Anlagen</t>
  </si>
  <si>
    <t>Investment Gebäude und Infrastruktur</t>
  </si>
  <si>
    <t>Investment Installation,</t>
  </si>
  <si>
    <t>Investment Planung, Entwicklung</t>
  </si>
  <si>
    <t>Wartung</t>
  </si>
  <si>
    <t>h/a</t>
  </si>
  <si>
    <t>Reparatur</t>
  </si>
  <si>
    <t>Rüstvorgang</t>
  </si>
  <si>
    <t>Raumbedarf</t>
  </si>
  <si>
    <t>m²</t>
  </si>
  <si>
    <t>Operation Parameters</t>
  </si>
  <si>
    <t>Arbeitstage/Jahr</t>
  </si>
  <si>
    <t>d/a</t>
  </si>
  <si>
    <t>Arbeitszeit /Tag</t>
  </si>
  <si>
    <t>h/d</t>
  </si>
  <si>
    <t>Output flows</t>
  </si>
  <si>
    <t xml:space="preserve">Output </t>
  </si>
  <si>
    <t>Specifications, Classification of hazard, Location of destination, planned treatment</t>
  </si>
  <si>
    <t>Products and valuable by-products</t>
  </si>
  <si>
    <t>Wastes, Losses</t>
  </si>
  <si>
    <t>Emissions</t>
  </si>
  <si>
    <t>Others</t>
  </si>
  <si>
    <t>Recycling</t>
  </si>
  <si>
    <t>PP in PP sorted Products</t>
  </si>
  <si>
    <t>ton</t>
  </si>
  <si>
    <t>Food PP</t>
  </si>
  <si>
    <t>Non-food PP</t>
  </si>
  <si>
    <t>Trays PP</t>
  </si>
  <si>
    <t>MaD PP</t>
  </si>
  <si>
    <t>Mixed Plastics</t>
  </si>
  <si>
    <t>Plastics in Households</t>
  </si>
  <si>
    <t>Plastics from Households</t>
  </si>
  <si>
    <t>PET Deposit</t>
  </si>
  <si>
    <t>Waste</t>
  </si>
  <si>
    <t>Plastics in Different DS</t>
  </si>
  <si>
    <t>PP-flow</t>
  </si>
  <si>
    <t>PS-flow</t>
  </si>
  <si>
    <t>PET-flow</t>
  </si>
  <si>
    <t>HDPE-flow</t>
  </si>
  <si>
    <t>Film-flow</t>
  </si>
  <si>
    <t>PP in DS(without fraction sorted in MP)</t>
  </si>
  <si>
    <t>PP in PP sorted products</t>
  </si>
  <si>
    <t>PP in other sorted products</t>
  </si>
  <si>
    <t>186.2 PP for Sorting</t>
  </si>
  <si>
    <t>1198.7 ton Plastics in Different DS Collected for Sorting</t>
  </si>
  <si>
    <t>106.9 ton sorted PP for Recycling</t>
  </si>
  <si>
    <t>Mixed Packaging PP</t>
  </si>
  <si>
    <t>PP recycling residues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</si>
</sst>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Segoe UI"/>
      <family val="2"/>
    </font>
    <font>
      <sz val="18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11"/>
      <color rgb="FF000000"/>
      <name val="Calibri"/>
      <family val="2"/>
    </font>
    <font>
      <b/>
      <sz val="14"/>
      <color theme="0"/>
      <name val="Calibri"/>
      <family val="2"/>
    </font>
    <font>
      <b/>
      <sz val="12"/>
      <color theme="0"/>
      <name val="Calibri"/>
      <family val="2"/>
    </font>
    <font>
      <b/>
      <sz val="16"/>
      <name val="Calibri"/>
      <family val="2"/>
    </font>
    <font>
      <b/>
      <sz val="18"/>
      <name val="Calibri"/>
      <family val="2"/>
    </font>
    <font>
      <sz val="12"/>
      <name val="Calibri"/>
      <family val="2"/>
    </font>
    <font>
      <sz val="14"/>
      <color rgb="FFFF0000"/>
      <name val="Calibri"/>
      <family val="2"/>
      <scheme val="minor"/>
    </font>
    <font>
      <sz val="16"/>
      <color rgb="FF00999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</font>
    <font>
      <sz val="12"/>
      <color rgb="FFFF0000"/>
      <name val="Calibri"/>
      <family val="2"/>
      <scheme val="minor"/>
    </font>
    <font>
      <b/>
      <sz val="18"/>
      <color rgb="FF009999"/>
      <name val="Calibri"/>
      <family val="2"/>
      <scheme val="minor"/>
    </font>
    <font>
      <sz val="11"/>
      <color rgb="FF000000"/>
      <name val="Calibri"/>
      <family val="2"/>
    </font>
    <font>
      <sz val="11"/>
      <color rgb="FF009999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2"/>
      <name val="Calibri"/>
      <family val="2"/>
      <scheme val="minor"/>
    </font>
    <font>
      <sz val="10.5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2"/>
      <color theme="2" tint="-0.249977111117893"/>
      <name val="Calibri"/>
      <family val="2"/>
      <scheme val="minor"/>
    </font>
    <font>
      <b/>
      <sz val="14"/>
      <color theme="2" tint="-0.249977111117893"/>
      <name val="Calibri"/>
      <family val="2"/>
    </font>
    <font>
      <i/>
      <sz val="11"/>
      <color theme="2" tint="-0.249977111117893"/>
      <name val="Calibri"/>
      <family val="2"/>
      <scheme val="minor"/>
    </font>
    <font>
      <sz val="14"/>
      <color theme="2" tint="-0.249977111117893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2E75B5"/>
      </patternFill>
    </fill>
    <fill>
      <patternFill patternType="solid">
        <fgColor theme="0"/>
        <bgColor rgb="FFFFD965"/>
      </patternFill>
    </fill>
    <fill>
      <patternFill patternType="solid">
        <fgColor rgb="FF00999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EB9C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009999"/>
      </right>
      <top/>
      <bottom/>
      <diagonal/>
    </border>
    <border>
      <left style="thin">
        <color indexed="64"/>
      </left>
      <right style="medium">
        <color rgb="FF009999"/>
      </right>
      <top style="thin">
        <color indexed="64"/>
      </top>
      <bottom style="thin">
        <color indexed="64"/>
      </bottom>
      <diagonal/>
    </border>
    <border>
      <left style="medium">
        <color rgb="FF00999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9999"/>
      </right>
      <top/>
      <bottom style="thin">
        <color indexed="64"/>
      </bottom>
      <diagonal/>
    </border>
    <border>
      <left style="medium">
        <color rgb="FF009999"/>
      </left>
      <right style="medium">
        <color rgb="FF009999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009999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9999"/>
      </left>
      <right style="medium">
        <color rgb="FF009999"/>
      </right>
      <top/>
      <bottom style="thin">
        <color indexed="64"/>
      </bottom>
      <diagonal/>
    </border>
    <border>
      <left style="medium">
        <color rgb="FF009999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</borders>
  <cellStyleXfs count="6">
    <xf numFmtId="0" fontId="0" fillId="0" borderId="0"/>
    <xf numFmtId="0" fontId="12" fillId="0" borderId="0" applyNumberFormat="0" applyFill="0" applyBorder="0" applyAlignment="0" applyProtection="0"/>
    <xf numFmtId="0" fontId="16" fillId="0" borderId="0"/>
    <xf numFmtId="0" fontId="18" fillId="0" borderId="0"/>
    <xf numFmtId="0" fontId="31" fillId="0" borderId="0"/>
    <xf numFmtId="0" fontId="35" fillId="14" borderId="0" applyNumberFormat="0" applyBorder="0" applyAlignment="0" applyProtection="0"/>
  </cellStyleXfs>
  <cellXfs count="235">
    <xf numFmtId="0" fontId="0" fillId="0" borderId="0" xfId="0"/>
    <xf numFmtId="0" fontId="0" fillId="2" borderId="0" xfId="0" applyFill="1"/>
    <xf numFmtId="0" fontId="6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8" fillId="2" borderId="0" xfId="0" applyFont="1" applyFill="1"/>
    <xf numFmtId="0" fontId="0" fillId="2" borderId="0" xfId="0" applyFill="1" applyAlignment="1">
      <alignment horizontal="center"/>
    </xf>
    <xf numFmtId="0" fontId="9" fillId="2" borderId="0" xfId="0" applyFont="1" applyFill="1"/>
    <xf numFmtId="0" fontId="3" fillId="2" borderId="0" xfId="0" applyFont="1" applyFill="1"/>
    <xf numFmtId="0" fontId="3" fillId="2" borderId="0" xfId="0" applyFont="1" applyFill="1" applyAlignment="1">
      <alignment vertical="top" wrapText="1"/>
    </xf>
    <xf numFmtId="0" fontId="3" fillId="0" borderId="0" xfId="0" applyFont="1"/>
    <xf numFmtId="0" fontId="10" fillId="2" borderId="0" xfId="0" applyFont="1" applyFill="1"/>
    <xf numFmtId="0" fontId="11" fillId="2" borderId="0" xfId="0" applyFont="1" applyFill="1"/>
    <xf numFmtId="0" fontId="4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vertical="top" wrapText="1"/>
    </xf>
    <xf numFmtId="0" fontId="0" fillId="2" borderId="1" xfId="0" applyFill="1" applyBorder="1"/>
    <xf numFmtId="0" fontId="7" fillId="2" borderId="0" xfId="0" applyFont="1" applyFill="1" applyAlignment="1">
      <alignment vertical="top" wrapText="1"/>
    </xf>
    <xf numFmtId="0" fontId="14" fillId="2" borderId="0" xfId="0" applyFont="1" applyFill="1"/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7" fillId="2" borderId="0" xfId="0" applyFont="1" applyFill="1" applyAlignment="1">
      <alignment vertical="center" wrapText="1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22" fillId="3" borderId="0" xfId="0" applyFont="1" applyFill="1" applyAlignment="1">
      <alignment horizontal="center" vertical="center"/>
    </xf>
    <xf numFmtId="0" fontId="5" fillId="2" borderId="6" xfId="0" applyFont="1" applyFill="1" applyBorder="1" applyAlignment="1">
      <alignment vertical="top" wrapText="1"/>
    </xf>
    <xf numFmtId="0" fontId="23" fillId="2" borderId="0" xfId="0" applyFont="1" applyFill="1" applyAlignment="1">
      <alignment vertical="top" wrapText="1"/>
    </xf>
    <xf numFmtId="0" fontId="2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left"/>
    </xf>
    <xf numFmtId="0" fontId="4" fillId="2" borderId="0" xfId="0" applyFont="1" applyFill="1" applyAlignment="1">
      <alignment vertical="top"/>
    </xf>
    <xf numFmtId="0" fontId="0" fillId="2" borderId="10" xfId="0" applyFill="1" applyBorder="1" applyAlignment="1">
      <alignment horizontal="center"/>
    </xf>
    <xf numFmtId="0" fontId="4" fillId="2" borderId="10" xfId="0" applyFont="1" applyFill="1" applyBorder="1"/>
    <xf numFmtId="0" fontId="4" fillId="2" borderId="12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11" xfId="0" applyFont="1" applyFill="1" applyBorder="1"/>
    <xf numFmtId="0" fontId="2" fillId="2" borderId="12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vertical="center"/>
    </xf>
    <xf numFmtId="0" fontId="0" fillId="2" borderId="11" xfId="0" applyFill="1" applyBorder="1" applyAlignment="1">
      <alignment horizontal="center"/>
    </xf>
    <xf numFmtId="0" fontId="7" fillId="2" borderId="14" xfId="0" applyFont="1" applyFill="1" applyBorder="1" applyAlignment="1">
      <alignment vertical="center" wrapText="1"/>
    </xf>
    <xf numFmtId="0" fontId="25" fillId="2" borderId="0" xfId="0" applyFont="1" applyFill="1"/>
    <xf numFmtId="0" fontId="4" fillId="2" borderId="5" xfId="0" applyFont="1" applyFill="1" applyBorder="1" applyAlignment="1">
      <alignment horizontal="center" vertical="center"/>
    </xf>
    <xf numFmtId="0" fontId="26" fillId="2" borderId="0" xfId="0" applyFont="1" applyFill="1" applyAlignment="1">
      <alignment vertical="center" wrapText="1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/>
    </xf>
    <xf numFmtId="0" fontId="26" fillId="2" borderId="0" xfId="0" applyFont="1" applyFill="1" applyAlignment="1" applyProtection="1">
      <alignment horizontal="center" vertical="center"/>
      <protection hidden="1"/>
    </xf>
    <xf numFmtId="0" fontId="27" fillId="2" borderId="0" xfId="0" applyFont="1" applyFill="1"/>
    <xf numFmtId="0" fontId="26" fillId="2" borderId="0" xfId="0" applyFont="1" applyFill="1" applyAlignment="1">
      <alignment horizontal="left" vertical="center"/>
    </xf>
    <xf numFmtId="0" fontId="26" fillId="2" borderId="0" xfId="0" applyFont="1" applyFill="1" applyAlignment="1">
      <alignment vertical="center"/>
    </xf>
    <xf numFmtId="0" fontId="26" fillId="2" borderId="0" xfId="0" applyFont="1" applyFill="1" applyAlignment="1">
      <alignment horizontal="center" vertical="center"/>
    </xf>
    <xf numFmtId="0" fontId="22" fillId="2" borderId="0" xfId="0" applyFont="1" applyFill="1" applyAlignment="1">
      <alignment horizontal="center" vertical="center"/>
    </xf>
    <xf numFmtId="0" fontId="28" fillId="2" borderId="0" xfId="0" applyFont="1" applyFill="1" applyAlignment="1">
      <alignment vertical="top" wrapText="1"/>
    </xf>
    <xf numFmtId="0" fontId="28" fillId="2" borderId="0" xfId="0" applyFont="1" applyFill="1" applyAlignment="1">
      <alignment horizontal="center" vertical="center" wrapText="1"/>
    </xf>
    <xf numFmtId="0" fontId="24" fillId="2" borderId="0" xfId="0" applyFont="1" applyFill="1"/>
    <xf numFmtId="0" fontId="15" fillId="2" borderId="16" xfId="0" applyFont="1" applyFill="1" applyBorder="1" applyAlignment="1">
      <alignment vertical="center" wrapText="1"/>
    </xf>
    <xf numFmtId="0" fontId="30" fillId="2" borderId="0" xfId="0" applyFont="1" applyFill="1"/>
    <xf numFmtId="0" fontId="19" fillId="6" borderId="2" xfId="0" applyFont="1" applyFill="1" applyBorder="1" applyAlignment="1">
      <alignment horizontal="center" vertical="center" wrapText="1"/>
    </xf>
    <xf numFmtId="0" fontId="19" fillId="6" borderId="3" xfId="0" applyFont="1" applyFill="1" applyBorder="1" applyAlignment="1">
      <alignment horizontal="center" vertical="center" wrapText="1"/>
    </xf>
    <xf numFmtId="0" fontId="23" fillId="2" borderId="17" xfId="0" applyFont="1" applyFill="1" applyBorder="1" applyAlignment="1">
      <alignment vertical="top" wrapText="1"/>
    </xf>
    <xf numFmtId="0" fontId="23" fillId="2" borderId="4" xfId="0" applyFont="1" applyFill="1" applyBorder="1" applyAlignment="1">
      <alignment vertical="top" wrapText="1"/>
    </xf>
    <xf numFmtId="0" fontId="29" fillId="2" borderId="0" xfId="0" applyFont="1" applyFill="1"/>
    <xf numFmtId="0" fontId="4" fillId="2" borderId="18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/>
    </xf>
    <xf numFmtId="0" fontId="32" fillId="2" borderId="19" xfId="0" applyFont="1" applyFill="1" applyBorder="1"/>
    <xf numFmtId="0" fontId="0" fillId="2" borderId="20" xfId="0" applyFill="1" applyBorder="1"/>
    <xf numFmtId="0" fontId="0" fillId="2" borderId="15" xfId="0" quotePrefix="1" applyFill="1" applyBorder="1"/>
    <xf numFmtId="0" fontId="0" fillId="2" borderId="9" xfId="0" applyFill="1" applyBorder="1"/>
    <xf numFmtId="0" fontId="0" fillId="0" borderId="7" xfId="0" applyBorder="1"/>
    <xf numFmtId="0" fontId="0" fillId="2" borderId="8" xfId="0" applyFill="1" applyBorder="1"/>
    <xf numFmtId="0" fontId="0" fillId="2" borderId="7" xfId="0" applyFill="1" applyBorder="1"/>
    <xf numFmtId="0" fontId="2" fillId="2" borderId="7" xfId="0" applyFont="1" applyFill="1" applyBorder="1"/>
    <xf numFmtId="0" fontId="0" fillId="2" borderId="7" xfId="0" quotePrefix="1" applyFill="1" applyBorder="1"/>
    <xf numFmtId="0" fontId="0" fillId="2" borderId="1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34" fillId="2" borderId="0" xfId="0" applyFont="1" applyFill="1"/>
    <xf numFmtId="0" fontId="33" fillId="13" borderId="30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0" fillId="2" borderId="2" xfId="0" applyFill="1" applyBorder="1"/>
    <xf numFmtId="0" fontId="4" fillId="2" borderId="1" xfId="0" applyFont="1" applyFill="1" applyBorder="1" applyAlignment="1">
      <alignment vertical="center" wrapText="1"/>
    </xf>
    <xf numFmtId="0" fontId="0" fillId="2" borderId="1" xfId="0" applyFill="1" applyBorder="1" applyAlignment="1">
      <alignment horizontal="left" vertical="center"/>
    </xf>
    <xf numFmtId="0" fontId="4" fillId="2" borderId="21" xfId="0" applyFont="1" applyFill="1" applyBorder="1" applyAlignment="1">
      <alignment horizontal="center" vertical="center"/>
    </xf>
    <xf numFmtId="0" fontId="4" fillId="2" borderId="21" xfId="0" applyFont="1" applyFill="1" applyBorder="1"/>
    <xf numFmtId="0" fontId="4" fillId="0" borderId="1" xfId="0" applyFont="1" applyBorder="1" applyAlignment="1">
      <alignment horizontal="left" vertical="center"/>
    </xf>
    <xf numFmtId="0" fontId="4" fillId="2" borderId="1" xfId="0" applyFont="1" applyFill="1" applyBorder="1"/>
    <xf numFmtId="0" fontId="36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wrapText="1"/>
    </xf>
    <xf numFmtId="0" fontId="4" fillId="0" borderId="1" xfId="0" applyFont="1" applyBorder="1" applyAlignment="1">
      <alignment horizontal="center" vertical="center"/>
    </xf>
    <xf numFmtId="0" fontId="4" fillId="2" borderId="31" xfId="0" applyFont="1" applyFill="1" applyBorder="1" applyAlignment="1">
      <alignment wrapText="1"/>
    </xf>
    <xf numFmtId="0" fontId="0" fillId="2" borderId="1" xfId="0" applyFill="1" applyBorder="1" applyAlignment="1">
      <alignment vertical="center"/>
    </xf>
    <xf numFmtId="0" fontId="0" fillId="2" borderId="1" xfId="0" applyFill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1" xfId="0" applyBorder="1"/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Protection="1">
      <protection hidden="1"/>
    </xf>
    <xf numFmtId="0" fontId="4" fillId="0" borderId="1" xfId="0" applyFont="1" applyBorder="1" applyAlignment="1">
      <alignment horizontal="right"/>
    </xf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wrapText="1"/>
    </xf>
    <xf numFmtId="0" fontId="4" fillId="0" borderId="1" xfId="0" applyFont="1" applyBorder="1"/>
    <xf numFmtId="0" fontId="4" fillId="2" borderId="1" xfId="0" applyFont="1" applyFill="1" applyBorder="1" applyAlignment="1" applyProtection="1">
      <alignment horizontal="center"/>
      <protection hidden="1"/>
    </xf>
    <xf numFmtId="0" fontId="33" fillId="5" borderId="32" xfId="0" applyFont="1" applyFill="1" applyBorder="1"/>
    <xf numFmtId="0" fontId="33" fillId="5" borderId="33" xfId="0" applyFont="1" applyFill="1" applyBorder="1"/>
    <xf numFmtId="0" fontId="33" fillId="5" borderId="34" xfId="0" applyFont="1" applyFill="1" applyBorder="1"/>
    <xf numFmtId="0" fontId="33" fillId="5" borderId="3" xfId="0" applyFont="1" applyFill="1" applyBorder="1"/>
    <xf numFmtId="0" fontId="33" fillId="5" borderId="29" xfId="0" applyFont="1" applyFill="1" applyBorder="1"/>
    <xf numFmtId="0" fontId="33" fillId="6" borderId="24" xfId="0" applyFont="1" applyFill="1" applyBorder="1"/>
    <xf numFmtId="0" fontId="33" fillId="6" borderId="33" xfId="0" applyFont="1" applyFill="1" applyBorder="1"/>
    <xf numFmtId="0" fontId="33" fillId="6" borderId="34" xfId="0" applyFont="1" applyFill="1" applyBorder="1"/>
    <xf numFmtId="0" fontId="33" fillId="6" borderId="30" xfId="0" applyFont="1" applyFill="1" applyBorder="1"/>
    <xf numFmtId="0" fontId="33" fillId="6" borderId="3" xfId="0" applyFont="1" applyFill="1" applyBorder="1"/>
    <xf numFmtId="0" fontId="33" fillId="6" borderId="29" xfId="0" applyFont="1" applyFill="1" applyBorder="1"/>
    <xf numFmtId="0" fontId="33" fillId="6" borderId="4" xfId="0" applyFont="1" applyFill="1" applyBorder="1"/>
    <xf numFmtId="0" fontId="33" fillId="7" borderId="3" xfId="0" applyFont="1" applyFill="1" applyBorder="1"/>
    <xf numFmtId="0" fontId="33" fillId="7" borderId="29" xfId="0" applyFont="1" applyFill="1" applyBorder="1"/>
    <xf numFmtId="0" fontId="33" fillId="7" borderId="4" xfId="0" applyFont="1" applyFill="1" applyBorder="1"/>
    <xf numFmtId="0" fontId="0" fillId="2" borderId="21" xfId="0" applyFill="1" applyBorder="1"/>
    <xf numFmtId="0" fontId="4" fillId="2" borderId="21" xfId="0" applyFont="1" applyFill="1" applyBorder="1" applyAlignment="1">
      <alignment vertical="center" wrapText="1"/>
    </xf>
    <xf numFmtId="0" fontId="4" fillId="0" borderId="21" xfId="0" applyFont="1" applyBorder="1" applyAlignment="1">
      <alignment horizontal="left" vertical="center" wrapText="1"/>
    </xf>
    <xf numFmtId="0" fontId="33" fillId="5" borderId="25" xfId="0" applyFont="1" applyFill="1" applyBorder="1"/>
    <xf numFmtId="0" fontId="0" fillId="10" borderId="22" xfId="0" applyFill="1" applyBorder="1" applyAlignment="1">
      <alignment vertical="center"/>
    </xf>
    <xf numFmtId="0" fontId="0" fillId="10" borderId="22" xfId="0" applyFill="1" applyBorder="1" applyAlignment="1">
      <alignment horizontal="left" vertical="center" wrapText="1"/>
    </xf>
    <xf numFmtId="0" fontId="33" fillId="7" borderId="28" xfId="0" applyFont="1" applyFill="1" applyBorder="1"/>
    <xf numFmtId="0" fontId="33" fillId="7" borderId="27" xfId="0" applyFont="1" applyFill="1" applyBorder="1"/>
    <xf numFmtId="0" fontId="33" fillId="7" borderId="16" xfId="0" applyFont="1" applyFill="1" applyBorder="1"/>
    <xf numFmtId="0" fontId="37" fillId="2" borderId="0" xfId="0" applyFont="1" applyFill="1"/>
    <xf numFmtId="0" fontId="0" fillId="10" borderId="35" xfId="0" applyFill="1" applyBorder="1" applyAlignment="1">
      <alignment horizontal="left" vertical="center" wrapText="1"/>
    </xf>
    <xf numFmtId="0" fontId="0" fillId="10" borderId="9" xfId="0" applyFill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11" borderId="9" xfId="0" applyFill="1" applyBorder="1" applyAlignment="1">
      <alignment horizontal="left" vertical="center" wrapText="1"/>
    </xf>
    <xf numFmtId="0" fontId="0" fillId="12" borderId="22" xfId="0" applyFill="1" applyBorder="1" applyAlignment="1">
      <alignment horizontal="left" vertical="center" wrapText="1"/>
    </xf>
    <xf numFmtId="0" fontId="33" fillId="5" borderId="23" xfId="0" applyFont="1" applyFill="1" applyBorder="1"/>
    <xf numFmtId="0" fontId="33" fillId="5" borderId="16" xfId="0" applyFont="1" applyFill="1" applyBorder="1"/>
    <xf numFmtId="0" fontId="35" fillId="2" borderId="1" xfId="5" applyNumberFormat="1" applyFill="1" applyBorder="1" applyAlignment="1">
      <alignment horizontal="right" vertical="center"/>
    </xf>
    <xf numFmtId="0" fontId="35" fillId="2" borderId="1" xfId="5" applyNumberFormat="1" applyFill="1" applyBorder="1"/>
    <xf numFmtId="0" fontId="35" fillId="2" borderId="1" xfId="5" applyFill="1" applyBorder="1" applyAlignment="1" applyProtection="1">
      <alignment horizontal="center"/>
      <protection hidden="1"/>
    </xf>
    <xf numFmtId="0" fontId="0" fillId="0" borderId="1" xfId="0" applyBorder="1" applyAlignment="1">
      <alignment horizontal="center" vertical="center"/>
    </xf>
    <xf numFmtId="0" fontId="7" fillId="2" borderId="36" xfId="0" applyFont="1" applyFill="1" applyBorder="1" applyAlignment="1">
      <alignment vertical="center" wrapText="1"/>
    </xf>
    <xf numFmtId="0" fontId="0" fillId="12" borderId="9" xfId="0" applyFill="1" applyBorder="1" applyAlignment="1">
      <alignment horizontal="left" vertical="center" wrapText="1"/>
    </xf>
    <xf numFmtId="0" fontId="33" fillId="7" borderId="23" xfId="0" applyFont="1" applyFill="1" applyBorder="1"/>
    <xf numFmtId="0" fontId="0" fillId="12" borderId="26" xfId="0" applyFill="1" applyBorder="1" applyAlignment="1">
      <alignment horizontal="left" vertical="center" wrapText="1"/>
    </xf>
    <xf numFmtId="0" fontId="34" fillId="2" borderId="0" xfId="0" applyFont="1" applyFill="1" applyAlignment="1">
      <alignment vertical="top" wrapText="1"/>
    </xf>
    <xf numFmtId="0" fontId="38" fillId="2" borderId="1" xfId="0" applyFont="1" applyFill="1" applyBorder="1" applyAlignment="1">
      <alignment horizontal="left" vertical="center" wrapText="1" readingOrder="1"/>
    </xf>
    <xf numFmtId="0" fontId="0" fillId="2" borderId="2" xfId="0" applyFill="1" applyBorder="1" applyAlignment="1">
      <alignment horizontal="center"/>
    </xf>
    <xf numFmtId="0" fontId="4" fillId="2" borderId="21" xfId="0" applyFont="1" applyFill="1" applyBorder="1" applyAlignment="1">
      <alignment horizontal="left" vertical="center"/>
    </xf>
    <xf numFmtId="0" fontId="39" fillId="2" borderId="1" xfId="0" applyFont="1" applyFill="1" applyBorder="1" applyAlignment="1">
      <alignment horizontal="center" vertical="center"/>
    </xf>
    <xf numFmtId="0" fontId="0" fillId="2" borderId="21" xfId="2" applyFont="1" applyFill="1" applyBorder="1"/>
    <xf numFmtId="0" fontId="0" fillId="10" borderId="22" xfId="0" applyFill="1" applyBorder="1" applyAlignment="1">
      <alignment vertical="center" wrapText="1"/>
    </xf>
    <xf numFmtId="0" fontId="0" fillId="10" borderId="15" xfId="0" applyFill="1" applyBorder="1" applyAlignment="1">
      <alignment vertical="center" wrapText="1"/>
    </xf>
    <xf numFmtId="0" fontId="0" fillId="11" borderId="37" xfId="0" applyFill="1" applyBorder="1" applyAlignment="1">
      <alignment horizontal="left" vertical="center" wrapText="1"/>
    </xf>
    <xf numFmtId="0" fontId="7" fillId="2" borderId="38" xfId="0" applyFont="1" applyFill="1" applyBorder="1" applyAlignment="1">
      <alignment vertical="center" wrapText="1"/>
    </xf>
    <xf numFmtId="0" fontId="4" fillId="2" borderId="39" xfId="0" applyFont="1" applyFill="1" applyBorder="1" applyAlignment="1">
      <alignment horizontal="center" vertical="center"/>
    </xf>
    <xf numFmtId="0" fontId="4" fillId="2" borderId="39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/>
    </xf>
    <xf numFmtId="0" fontId="0" fillId="2" borderId="13" xfId="0" applyFill="1" applyBorder="1" applyAlignment="1">
      <alignment horizontal="center"/>
    </xf>
    <xf numFmtId="0" fontId="0" fillId="10" borderId="40" xfId="0" applyFill="1" applyBorder="1" applyAlignment="1">
      <alignment vertical="center" wrapText="1"/>
    </xf>
    <xf numFmtId="0" fontId="1" fillId="5" borderId="0" xfId="0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2" borderId="0" xfId="0" applyFill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21" fillId="3" borderId="0" xfId="0" applyFont="1" applyFill="1" applyAlignment="1">
      <alignment horizontal="center" vertical="top"/>
    </xf>
    <xf numFmtId="0" fontId="12" fillId="2" borderId="1" xfId="1" applyFill="1" applyBorder="1" applyAlignment="1">
      <alignment horizontal="left" vertical="top" wrapText="1"/>
    </xf>
    <xf numFmtId="0" fontId="20" fillId="4" borderId="0" xfId="0" applyFont="1" applyFill="1" applyAlignment="1">
      <alignment horizontal="center" vertical="center"/>
    </xf>
    <xf numFmtId="0" fontId="19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left" vertical="top" wrapText="1"/>
    </xf>
    <xf numFmtId="0" fontId="0" fillId="11" borderId="41" xfId="0" applyFill="1" applyBorder="1" applyAlignment="1">
      <alignment horizontal="left" vertical="center" wrapText="1"/>
    </xf>
    <xf numFmtId="0" fontId="0" fillId="2" borderId="5" xfId="0" applyFill="1" applyBorder="1"/>
    <xf numFmtId="0" fontId="41" fillId="0" borderId="1" xfId="0" applyFont="1" applyBorder="1"/>
    <xf numFmtId="0" fontId="41" fillId="2" borderId="1" xfId="0" applyFont="1" applyFill="1" applyBorder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0" fontId="41" fillId="2" borderId="0" xfId="0" applyFont="1" applyFill="1" applyAlignment="1">
      <alignment horizontal="center" vertical="center"/>
    </xf>
    <xf numFmtId="0" fontId="42" fillId="2" borderId="0" xfId="0" applyFont="1" applyFill="1" applyAlignment="1">
      <alignment horizontal="left" vertical="center"/>
    </xf>
    <xf numFmtId="0" fontId="41" fillId="2" borderId="0" xfId="0" applyFont="1" applyFill="1" applyAlignment="1">
      <alignment vertical="center"/>
    </xf>
    <xf numFmtId="0" fontId="41" fillId="2" borderId="0" xfId="0" applyFont="1" applyFill="1" applyAlignment="1">
      <alignment horizontal="center"/>
    </xf>
    <xf numFmtId="0" fontId="41" fillId="2" borderId="0" xfId="0" applyFont="1" applyFill="1"/>
    <xf numFmtId="0" fontId="41" fillId="0" borderId="0" xfId="0" applyFont="1" applyAlignment="1">
      <alignment vertical="top" wrapText="1"/>
    </xf>
    <xf numFmtId="0" fontId="41" fillId="2" borderId="0" xfId="5" applyNumberFormat="1" applyFont="1" applyFill="1" applyBorder="1" applyAlignment="1">
      <alignment horizontal="right" vertical="center"/>
    </xf>
    <xf numFmtId="0" fontId="41" fillId="2" borderId="0" xfId="5" applyNumberFormat="1" applyFont="1" applyFill="1" applyBorder="1"/>
    <xf numFmtId="0" fontId="41" fillId="2" borderId="0" xfId="0" applyFont="1" applyFill="1" applyAlignment="1">
      <alignment vertical="top" wrapText="1"/>
    </xf>
    <xf numFmtId="0" fontId="40" fillId="7" borderId="33" xfId="0" applyFont="1" applyFill="1" applyBorder="1"/>
    <xf numFmtId="0" fontId="41" fillId="12" borderId="22" xfId="0" applyFont="1" applyFill="1" applyBorder="1" applyAlignment="1">
      <alignment horizontal="left" vertical="center" wrapText="1"/>
    </xf>
    <xf numFmtId="0" fontId="41" fillId="2" borderId="5" xfId="0" applyFont="1" applyFill="1" applyBorder="1" applyAlignment="1">
      <alignment horizontal="center" vertical="center"/>
    </xf>
    <xf numFmtId="0" fontId="0" fillId="10" borderId="6" xfId="0" applyFill="1" applyBorder="1" applyAlignment="1">
      <alignment vertical="center" wrapText="1"/>
    </xf>
    <xf numFmtId="0" fontId="43" fillId="2" borderId="23" xfId="0" applyFont="1" applyFill="1" applyBorder="1" applyAlignment="1">
      <alignment vertical="center"/>
    </xf>
    <xf numFmtId="0" fontId="30" fillId="2" borderId="23" xfId="0" applyFont="1" applyFill="1" applyBorder="1"/>
    <xf numFmtId="0" fontId="33" fillId="6" borderId="27" xfId="0" applyFont="1" applyFill="1" applyBorder="1"/>
    <xf numFmtId="0" fontId="41" fillId="2" borderId="0" xfId="0" applyFont="1" applyFill="1" applyAlignment="1">
      <alignment horizontal="left" vertical="top" wrapText="1"/>
    </xf>
    <xf numFmtId="0" fontId="41" fillId="8" borderId="1" xfId="0" applyFont="1" applyFill="1" applyBorder="1" applyAlignment="1">
      <alignment vertical="top" wrapText="1"/>
    </xf>
    <xf numFmtId="0" fontId="44" fillId="2" borderId="0" xfId="0" applyFont="1" applyFill="1" applyAlignment="1">
      <alignment horizontal="center" vertical="center" wrapText="1"/>
    </xf>
    <xf numFmtId="0" fontId="41" fillId="0" borderId="0" xfId="0" applyFont="1"/>
    <xf numFmtId="0" fontId="45" fillId="8" borderId="6" xfId="0" applyFont="1" applyFill="1" applyBorder="1" applyAlignment="1">
      <alignment vertical="top" wrapText="1"/>
    </xf>
    <xf numFmtId="0" fontId="46" fillId="2" borderId="0" xfId="0" applyFont="1" applyFill="1"/>
    <xf numFmtId="0" fontId="41" fillId="10" borderId="5" xfId="0" applyFont="1" applyFill="1" applyBorder="1" applyAlignment="1">
      <alignment vertical="center" wrapText="1"/>
    </xf>
    <xf numFmtId="0" fontId="4" fillId="2" borderId="5" xfId="0" applyFont="1" applyFill="1" applyBorder="1"/>
    <xf numFmtId="0" fontId="41" fillId="10" borderId="6" xfId="0" applyFont="1" applyFill="1" applyBorder="1" applyAlignment="1">
      <alignment vertical="center"/>
    </xf>
    <xf numFmtId="0" fontId="41" fillId="10" borderId="6" xfId="0" applyFont="1" applyFill="1" applyBorder="1" applyAlignment="1">
      <alignment vertical="center" wrapText="1"/>
    </xf>
    <xf numFmtId="0" fontId="40" fillId="5" borderId="23" xfId="0" applyFont="1" applyFill="1" applyBorder="1"/>
    <xf numFmtId="0" fontId="40" fillId="5" borderId="4" xfId="0" applyFont="1" applyFill="1" applyBorder="1"/>
    <xf numFmtId="0" fontId="33" fillId="5" borderId="17" xfId="0" applyFont="1" applyFill="1" applyBorder="1"/>
    <xf numFmtId="0" fontId="40" fillId="5" borderId="28" xfId="0" applyFont="1" applyFill="1" applyBorder="1"/>
    <xf numFmtId="0" fontId="41" fillId="10" borderId="40" xfId="0" applyFont="1" applyFill="1" applyBorder="1" applyAlignment="1">
      <alignment vertical="center" wrapText="1"/>
    </xf>
    <xf numFmtId="0" fontId="40" fillId="5" borderId="25" xfId="0" applyFont="1" applyFill="1" applyBorder="1"/>
    <xf numFmtId="0" fontId="0" fillId="2" borderId="41" xfId="0" applyFill="1" applyBorder="1" applyAlignment="1">
      <alignment horizontal="center"/>
    </xf>
    <xf numFmtId="0" fontId="40" fillId="7" borderId="15" xfId="0" applyFont="1" applyFill="1" applyBorder="1"/>
    <xf numFmtId="0" fontId="41" fillId="12" borderId="1" xfId="0" applyFont="1" applyFill="1" applyBorder="1" applyAlignment="1">
      <alignment horizontal="left" vertical="center" wrapText="1"/>
    </xf>
    <xf numFmtId="0" fontId="41" fillId="12" borderId="2" xfId="0" applyFont="1" applyFill="1" applyBorder="1" applyAlignment="1">
      <alignment horizontal="left" vertical="center" wrapText="1"/>
    </xf>
    <xf numFmtId="0" fontId="41" fillId="12" borderId="5" xfId="0" applyFont="1" applyFill="1" applyBorder="1" applyAlignment="1">
      <alignment horizontal="left" vertical="center" wrapText="1"/>
    </xf>
    <xf numFmtId="0" fontId="40" fillId="7" borderId="16" xfId="0" applyFont="1" applyFill="1" applyBorder="1"/>
    <xf numFmtId="0" fontId="41" fillId="0" borderId="1" xfId="0" applyFont="1" applyBorder="1" applyAlignment="1">
      <alignment horizontal="right"/>
    </xf>
    <xf numFmtId="0" fontId="41" fillId="0" borderId="1" xfId="0" applyFont="1" applyBorder="1" applyAlignment="1">
      <alignment horizontal="center"/>
    </xf>
    <xf numFmtId="0" fontId="41" fillId="0" borderId="1" xfId="5" applyNumberFormat="1" applyFont="1" applyFill="1" applyBorder="1"/>
    <xf numFmtId="0" fontId="41" fillId="0" borderId="1" xfId="5" applyFont="1" applyFill="1" applyBorder="1" applyAlignment="1" applyProtection="1">
      <alignment horizontal="center"/>
      <protection hidden="1"/>
    </xf>
    <xf numFmtId="0" fontId="41" fillId="2" borderId="23" xfId="0" applyFont="1" applyFill="1" applyBorder="1"/>
    <xf numFmtId="0" fontId="0" fillId="2" borderId="19" xfId="0" applyFill="1" applyBorder="1"/>
    <xf numFmtId="0" fontId="41" fillId="0" borderId="1" xfId="0" applyFont="1" applyBorder="1" applyAlignment="1">
      <alignment horizontal="center" vertical="center" wrapText="1"/>
    </xf>
    <xf numFmtId="0" fontId="2" fillId="9" borderId="1" xfId="0" applyFont="1" applyFill="1" applyBorder="1" applyAlignment="1">
      <alignment vertical="center"/>
    </xf>
    <xf numFmtId="0" fontId="2" fillId="8" borderId="21" xfId="0" applyFont="1" applyFill="1" applyBorder="1" applyAlignment="1">
      <alignment vertical="center" wrapText="1"/>
    </xf>
    <xf numFmtId="0" fontId="2" fillId="9" borderId="21" xfId="0" applyFont="1" applyFill="1" applyBorder="1" applyAlignment="1">
      <alignment vertical="center" wrapText="1"/>
    </xf>
    <xf numFmtId="0" fontId="41" fillId="0" borderId="2" xfId="0" applyFont="1" applyBorder="1" applyAlignment="1">
      <alignment horizontal="center" vertical="center"/>
    </xf>
    <xf numFmtId="0" fontId="41" fillId="0" borderId="2" xfId="0" applyFont="1" applyBorder="1" applyAlignment="1" applyProtection="1">
      <alignment horizontal="center"/>
      <protection hidden="1"/>
    </xf>
    <xf numFmtId="0" fontId="41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right" vertical="center"/>
    </xf>
    <xf numFmtId="0" fontId="0" fillId="0" borderId="22" xfId="0" applyBorder="1"/>
    <xf numFmtId="0" fontId="0" fillId="2" borderId="0" xfId="0" applyFill="1" applyAlignment="1">
      <alignment horizontal="right"/>
    </xf>
    <xf numFmtId="0" fontId="3" fillId="2" borderId="3" xfId="0" applyFont="1" applyFill="1" applyBorder="1"/>
    <xf numFmtId="0" fontId="0" fillId="0" borderId="4" xfId="0" applyBorder="1"/>
    <xf numFmtId="0" fontId="40" fillId="5" borderId="28" xfId="0" applyFont="1" applyFill="1" applyBorder="1"/>
    <xf numFmtId="0" fontId="41" fillId="0" borderId="27" xfId="0" applyFont="1" applyBorder="1"/>
    <xf numFmtId="0" fontId="0" fillId="0" borderId="16" xfId="0" applyBorder="1"/>
    <xf numFmtId="0" fontId="40" fillId="7" borderId="3" xfId="0" applyFont="1" applyFill="1" applyBorder="1"/>
    <xf numFmtId="0" fontId="41" fillId="7" borderId="29" xfId="0" applyFont="1" applyFill="1" applyBorder="1"/>
  </cellXfs>
  <cellStyles count="6">
    <cellStyle name="Hyperlink" xfId="1" builtinId="8"/>
    <cellStyle name="Neutral" xfId="5" builtinId="28"/>
    <cellStyle name="Normal" xfId="0" builtinId="0"/>
    <cellStyle name="Standard 2" xfId="2" xr:uid="{00000000-0005-0000-0000-000002000000}"/>
    <cellStyle name="Standard 3" xfId="3" xr:uid="{00000000-0005-0000-0000-000003000000}"/>
    <cellStyle name="Standard 4" xfId="4" xr:uid="{00000000-0005-0000-0000-000004000000}"/>
  </cellStyles>
  <dxfs count="0"/>
  <tableStyles count="0" defaultTableStyle="TableStyleMedium2" defaultPivotStyle="PivotStyleLight16"/>
  <colors>
    <mruColors>
      <color rgb="FFD1FFFF"/>
      <color rgb="FF009999"/>
      <color rgb="FF33CCCC"/>
      <color rgb="FFFFCCCC"/>
      <color rgb="FF996633"/>
      <color rgb="FFCC0099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70</xdr:row>
      <xdr:rowOff>150280</xdr:rowOff>
    </xdr:from>
    <xdr:ext cx="1637756" cy="311496"/>
    <xdr:sp macro="" textlink="">
      <xdr:nvSpPr>
        <xdr:cNvPr id="97" name="Textfeld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 txBox="1"/>
      </xdr:nvSpPr>
      <xdr:spPr>
        <a:xfrm>
          <a:off x="8635980" y="14046197"/>
          <a:ext cx="1637756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400" b="1">
              <a:solidFill>
                <a:schemeClr val="bg1"/>
              </a:solidFill>
            </a:rPr>
            <a:t>Black box approach</a:t>
          </a:r>
        </a:p>
      </xdr:txBody>
    </xdr:sp>
    <xdr:clientData/>
  </xdr:oneCellAnchor>
  <xdr:twoCellAnchor>
    <xdr:from>
      <xdr:col>2</xdr:col>
      <xdr:colOff>451736</xdr:colOff>
      <xdr:row>2</xdr:row>
      <xdr:rowOff>76783</xdr:rowOff>
    </xdr:from>
    <xdr:to>
      <xdr:col>7</xdr:col>
      <xdr:colOff>447675</xdr:colOff>
      <xdr:row>16</xdr:row>
      <xdr:rowOff>114300</xdr:rowOff>
    </xdr:to>
    <xdr:grpSp>
      <xdr:nvGrpSpPr>
        <xdr:cNvPr id="113" name="Gruppieren 11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GrpSpPr/>
      </xdr:nvGrpSpPr>
      <xdr:grpSpPr>
        <a:xfrm>
          <a:off x="8186036" y="457783"/>
          <a:ext cx="3043939" cy="3352217"/>
          <a:chOff x="4101093" y="4350875"/>
          <a:chExt cx="3630403" cy="4335093"/>
        </a:xfrm>
      </xdr:grpSpPr>
      <xdr:sp macro="" textlink="">
        <xdr:nvSpPr>
          <xdr:cNvPr id="108" name="Textfeld 24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 txBox="1"/>
        </xdr:nvSpPr>
        <xdr:spPr>
          <a:xfrm>
            <a:off x="4101093" y="4350875"/>
            <a:ext cx="3630403" cy="4335093"/>
          </a:xfrm>
          <a:prstGeom prst="rect">
            <a:avLst/>
          </a:prstGeom>
          <a:noFill/>
          <a:ln w="19050">
            <a:solidFill>
              <a:schemeClr val="tx1"/>
            </a:solidFill>
          </a:ln>
        </xdr:spPr>
        <xdr:txBody>
          <a:bodyPr wrap="square" rtlCol="0" anchor="t">
            <a:noAutofit/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de-DE" sz="1400" b="1">
                <a:latin typeface="+mn-lt"/>
                <a:cs typeface="Arial" pitchFamily="34" charset="0"/>
              </a:rPr>
              <a:t>PROCESS SCHEME</a:t>
            </a:r>
          </a:p>
        </xdr:txBody>
      </xdr:sp>
      <xdr:grpSp>
        <xdr:nvGrpSpPr>
          <xdr:cNvPr id="112" name="Gruppieren 111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GrpSpPr/>
        </xdr:nvGrpSpPr>
        <xdr:grpSpPr>
          <a:xfrm>
            <a:off x="5057599" y="4874419"/>
            <a:ext cx="1719883" cy="3641128"/>
            <a:chOff x="5057599" y="4874419"/>
            <a:chExt cx="1719883" cy="3641128"/>
          </a:xfrm>
        </xdr:grpSpPr>
        <xdr:sp macro="" textlink="">
          <xdr:nvSpPr>
            <xdr:cNvPr id="20" name="Pfeil nach rechts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/>
          </xdr:nvSpPr>
          <xdr:spPr>
            <a:xfrm rot="5400000">
              <a:off x="5248537" y="6993113"/>
              <a:ext cx="1334374" cy="1710493"/>
            </a:xfrm>
            <a:prstGeom prst="rightArrow">
              <a:avLst/>
            </a:prstGeom>
            <a:solidFill>
              <a:srgbClr val="C00000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ctr"/>
              <a:r>
                <a:rPr lang="de-DE" sz="1100" b="1" baseline="0">
                  <a:solidFill>
                    <a:schemeClr val="bg1"/>
                  </a:solidFill>
                </a:rPr>
                <a:t> Output</a:t>
              </a:r>
              <a:endParaRPr lang="de-DE" sz="11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5" name="Rechteck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>
            <a:xfrm>
              <a:off x="5201680" y="6269575"/>
              <a:ext cx="1440000" cy="784315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4">
                <a:shade val="50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de-DE" sz="1200" b="1">
                  <a:solidFill>
                    <a:schemeClr val="bg1"/>
                  </a:solidFill>
                </a:rPr>
                <a:t>Process</a:t>
              </a:r>
            </a:p>
          </xdr:txBody>
        </xdr:sp>
        <xdr:sp macro="" textlink="">
          <xdr:nvSpPr>
            <xdr:cNvPr id="16" name="Pfeil nach rechts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 rot="5400000">
              <a:off x="5261522" y="4670496"/>
              <a:ext cx="1312038" cy="1719883"/>
            </a:xfrm>
            <a:prstGeom prst="rightArrow">
              <a:avLst/>
            </a:prstGeom>
            <a:solidFill>
              <a:srgbClr val="009999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ctr"/>
              <a:r>
                <a:rPr lang="de-DE" sz="1100" b="1">
                  <a:solidFill>
                    <a:schemeClr val="bg1"/>
                  </a:solidFill>
                </a:rPr>
                <a:t>Input</a:t>
              </a:r>
            </a:p>
          </xdr:txBody>
        </xdr:sp>
      </xdr:grpSp>
    </xdr:grpSp>
    <xdr:clientData/>
  </xdr:twoCellAnchor>
  <xdr:twoCellAnchor editAs="oneCell">
    <xdr:from>
      <xdr:col>0</xdr:col>
      <xdr:colOff>76200</xdr:colOff>
      <xdr:row>0</xdr:row>
      <xdr:rowOff>136871</xdr:rowOff>
    </xdr:from>
    <xdr:to>
      <xdr:col>0</xdr:col>
      <xdr:colOff>1239860</xdr:colOff>
      <xdr:row>3</xdr:row>
      <xdr:rowOff>4082</xdr:rowOff>
    </xdr:to>
    <xdr:pic>
      <xdr:nvPicPr>
        <xdr:cNvPr id="9" name="Grafik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136871"/>
          <a:ext cx="1163660" cy="543486"/>
        </a:xfrm>
        <a:prstGeom prst="rect">
          <a:avLst/>
        </a:prstGeom>
      </xdr:spPr>
    </xdr:pic>
    <xdr:clientData/>
  </xdr:twoCellAnchor>
  <xdr:oneCellAnchor>
    <xdr:from>
      <xdr:col>2</xdr:col>
      <xdr:colOff>0</xdr:colOff>
      <xdr:row>71</xdr:row>
      <xdr:rowOff>150280</xdr:rowOff>
    </xdr:from>
    <xdr:ext cx="1637756" cy="311496"/>
    <xdr:sp macro="" textlink="">
      <xdr:nvSpPr>
        <xdr:cNvPr id="10" name="Textfeld 96">
          <a:extLst>
            <a:ext uri="{FF2B5EF4-FFF2-40B4-BE49-F238E27FC236}">
              <a16:creationId xmlns:a16="http://schemas.microsoft.com/office/drawing/2014/main" id="{98F6B075-D95B-4723-B9F9-8F7536A6B076}"/>
            </a:ext>
          </a:extLst>
        </xdr:cNvPr>
        <xdr:cNvSpPr txBox="1"/>
      </xdr:nvSpPr>
      <xdr:spPr>
        <a:xfrm>
          <a:off x="7955280" y="14193940"/>
          <a:ext cx="1637756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400" b="1">
              <a:solidFill>
                <a:schemeClr val="bg1"/>
              </a:solidFill>
            </a:rPr>
            <a:t>Black box approach</a:t>
          </a:r>
        </a:p>
      </xdr:txBody>
    </xdr:sp>
    <xdr:clientData/>
  </xdr:oneCellAnchor>
  <xdr:twoCellAnchor>
    <xdr:from>
      <xdr:col>2</xdr:col>
      <xdr:colOff>451736</xdr:colOff>
      <xdr:row>2</xdr:row>
      <xdr:rowOff>76783</xdr:rowOff>
    </xdr:from>
    <xdr:to>
      <xdr:col>7</xdr:col>
      <xdr:colOff>447675</xdr:colOff>
      <xdr:row>16</xdr:row>
      <xdr:rowOff>114300</xdr:rowOff>
    </xdr:to>
    <xdr:grpSp>
      <xdr:nvGrpSpPr>
        <xdr:cNvPr id="11" name="Gruppieren 112">
          <a:extLst>
            <a:ext uri="{FF2B5EF4-FFF2-40B4-BE49-F238E27FC236}">
              <a16:creationId xmlns:a16="http://schemas.microsoft.com/office/drawing/2014/main" id="{39368DB3-8DAE-442B-A64C-4614A8216AC1}"/>
            </a:ext>
          </a:extLst>
        </xdr:cNvPr>
        <xdr:cNvGrpSpPr/>
      </xdr:nvGrpSpPr>
      <xdr:grpSpPr>
        <a:xfrm>
          <a:off x="8186036" y="457783"/>
          <a:ext cx="3043939" cy="3352217"/>
          <a:chOff x="4101093" y="4350875"/>
          <a:chExt cx="3630403" cy="4335093"/>
        </a:xfrm>
      </xdr:grpSpPr>
      <xdr:sp macro="" textlink="">
        <xdr:nvSpPr>
          <xdr:cNvPr id="12" name="Textfeld 24">
            <a:extLst>
              <a:ext uri="{FF2B5EF4-FFF2-40B4-BE49-F238E27FC236}">
                <a16:creationId xmlns:a16="http://schemas.microsoft.com/office/drawing/2014/main" id="{3B2B4C22-EBF3-47EF-900C-8407DCFACC7F}"/>
              </a:ext>
            </a:extLst>
          </xdr:cNvPr>
          <xdr:cNvSpPr txBox="1"/>
        </xdr:nvSpPr>
        <xdr:spPr>
          <a:xfrm>
            <a:off x="4101093" y="4350875"/>
            <a:ext cx="3630403" cy="4335093"/>
          </a:xfrm>
          <a:prstGeom prst="rect">
            <a:avLst/>
          </a:prstGeom>
          <a:noFill/>
          <a:ln w="19050">
            <a:solidFill>
              <a:schemeClr val="tx1"/>
            </a:solidFill>
          </a:ln>
        </xdr:spPr>
        <xdr:txBody>
          <a:bodyPr wrap="square" rtlCol="0" anchor="t">
            <a:noAutofit/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de-DE" sz="1400" b="1">
                <a:latin typeface="+mn-lt"/>
                <a:cs typeface="Arial" pitchFamily="34" charset="0"/>
              </a:rPr>
              <a:t>PROCESS SCHEME</a:t>
            </a:r>
          </a:p>
        </xdr:txBody>
      </xdr:sp>
      <xdr:grpSp>
        <xdr:nvGrpSpPr>
          <xdr:cNvPr id="13" name="Gruppieren 111">
            <a:extLst>
              <a:ext uri="{FF2B5EF4-FFF2-40B4-BE49-F238E27FC236}">
                <a16:creationId xmlns:a16="http://schemas.microsoft.com/office/drawing/2014/main" id="{9C56D519-7DEE-48F9-87DE-9A79D4DE9947}"/>
              </a:ext>
            </a:extLst>
          </xdr:cNvPr>
          <xdr:cNvGrpSpPr/>
        </xdr:nvGrpSpPr>
        <xdr:grpSpPr>
          <a:xfrm>
            <a:off x="5057599" y="4874419"/>
            <a:ext cx="1719883" cy="3641128"/>
            <a:chOff x="5057599" y="4874419"/>
            <a:chExt cx="1719883" cy="3641128"/>
          </a:xfrm>
        </xdr:grpSpPr>
        <xdr:sp macro="" textlink="">
          <xdr:nvSpPr>
            <xdr:cNvPr id="14" name="Pfeil nach rechts 19">
              <a:extLst>
                <a:ext uri="{FF2B5EF4-FFF2-40B4-BE49-F238E27FC236}">
                  <a16:creationId xmlns:a16="http://schemas.microsoft.com/office/drawing/2014/main" id="{4173B650-D782-4CAB-A6AF-27293D604550}"/>
                </a:ext>
              </a:extLst>
            </xdr:cNvPr>
            <xdr:cNvSpPr/>
          </xdr:nvSpPr>
          <xdr:spPr>
            <a:xfrm rot="5400000">
              <a:off x="5248537" y="6993113"/>
              <a:ext cx="1334374" cy="1710493"/>
            </a:xfrm>
            <a:prstGeom prst="rightArrow">
              <a:avLst/>
            </a:prstGeom>
            <a:solidFill>
              <a:srgbClr val="C00000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ctr"/>
              <a:r>
                <a:rPr lang="de-DE" sz="1100" b="1" baseline="0">
                  <a:solidFill>
                    <a:schemeClr val="bg1"/>
                  </a:solidFill>
                </a:rPr>
                <a:t> Output</a:t>
              </a:r>
              <a:endParaRPr lang="de-DE" sz="11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15" name="Rechteck 4">
              <a:extLst>
                <a:ext uri="{FF2B5EF4-FFF2-40B4-BE49-F238E27FC236}">
                  <a16:creationId xmlns:a16="http://schemas.microsoft.com/office/drawing/2014/main" id="{6A6B7FD8-0A36-43F4-96AC-740B7E31AD31}"/>
                </a:ext>
              </a:extLst>
            </xdr:cNvPr>
            <xdr:cNvSpPr/>
          </xdr:nvSpPr>
          <xdr:spPr>
            <a:xfrm>
              <a:off x="5201680" y="6269575"/>
              <a:ext cx="1440000" cy="784315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4">
                <a:shade val="50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de-DE" sz="1200" b="1">
                  <a:solidFill>
                    <a:schemeClr val="bg1"/>
                  </a:solidFill>
                </a:rPr>
                <a:t>Process</a:t>
              </a:r>
            </a:p>
          </xdr:txBody>
        </xdr:sp>
        <xdr:sp macro="" textlink="">
          <xdr:nvSpPr>
            <xdr:cNvPr id="17" name="Pfeil nach rechts 15">
              <a:extLst>
                <a:ext uri="{FF2B5EF4-FFF2-40B4-BE49-F238E27FC236}">
                  <a16:creationId xmlns:a16="http://schemas.microsoft.com/office/drawing/2014/main" id="{D306305A-BCAD-41D1-8FD9-F41CDC17A621}"/>
                </a:ext>
              </a:extLst>
            </xdr:cNvPr>
            <xdr:cNvSpPr/>
          </xdr:nvSpPr>
          <xdr:spPr>
            <a:xfrm rot="5400000">
              <a:off x="5261522" y="4670496"/>
              <a:ext cx="1312038" cy="1719883"/>
            </a:xfrm>
            <a:prstGeom prst="rightArrow">
              <a:avLst/>
            </a:prstGeom>
            <a:solidFill>
              <a:srgbClr val="009999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ctr"/>
              <a:r>
                <a:rPr lang="de-DE" sz="1100" b="1">
                  <a:solidFill>
                    <a:schemeClr val="bg1"/>
                  </a:solidFill>
                </a:rPr>
                <a:t>Input</a:t>
              </a:r>
            </a:p>
          </xdr:txBody>
        </xdr:sp>
      </xdr:grpSp>
    </xdr:grpSp>
    <xdr:clientData/>
  </xdr:twoCellAnchor>
  <xdr:twoCellAnchor editAs="oneCell">
    <xdr:from>
      <xdr:col>0</xdr:col>
      <xdr:colOff>76200</xdr:colOff>
      <xdr:row>0</xdr:row>
      <xdr:rowOff>136871</xdr:rowOff>
    </xdr:from>
    <xdr:to>
      <xdr:col>0</xdr:col>
      <xdr:colOff>1514180</xdr:colOff>
      <xdr:row>3</xdr:row>
      <xdr:rowOff>118382</xdr:rowOff>
    </xdr:to>
    <xdr:pic>
      <xdr:nvPicPr>
        <xdr:cNvPr id="18" name="Grafik 8">
          <a:extLst>
            <a:ext uri="{FF2B5EF4-FFF2-40B4-BE49-F238E27FC236}">
              <a16:creationId xmlns:a16="http://schemas.microsoft.com/office/drawing/2014/main" id="{DE378C7A-C1E9-4D97-AAD6-11152F581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136871"/>
          <a:ext cx="1437980" cy="64445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9A8AF8E0-6797-4470-9DF4-8EFDE1E97720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8A076B5D-84E2-4CF3-93A9-772ABDB0611F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88439308-87A4-4044-A0E2-B7C9BD98C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3FE9FDA6-2261-4D67-9AE1-15A35029B42E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A5E94195-7887-4EE8-8D26-BF10476B15FA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884D8730-918E-4CF1-A5B5-41D9915BB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EF98E723-CE62-4864-AB76-DCFCCDEFCCF8}"/>
            </a:ext>
          </a:extLst>
        </xdr:cNvPr>
        <xdr:cNvSpPr/>
      </xdr:nvSpPr>
      <xdr:spPr>
        <a:xfrm rot="5400000">
          <a:off x="8996863" y="-1532184"/>
          <a:ext cx="445554" cy="18439279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3EAE82AD-9828-49F7-B6D6-9B6F8FB148F1}"/>
            </a:ext>
          </a:extLst>
        </xdr:cNvPr>
        <xdr:cNvSpPr/>
      </xdr:nvSpPr>
      <xdr:spPr>
        <a:xfrm rot="5400000">
          <a:off x="8979105" y="7012874"/>
          <a:ext cx="463139" cy="18421350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4D3363AA-025A-450E-BFFA-2D1240EE4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1522" y="940176"/>
          <a:ext cx="2642130" cy="134806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AD05C2DD-69C1-43D5-922C-A482FAC5E405}"/>
            </a:ext>
          </a:extLst>
        </xdr:cNvPr>
        <xdr:cNvSpPr/>
      </xdr:nvSpPr>
      <xdr:spPr>
        <a:xfrm rot="5400000">
          <a:off x="8856508" y="-1869760"/>
          <a:ext cx="431547" cy="18144564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0EEDEA91-3D49-4D95-8AAB-B5A540BA7539}"/>
            </a:ext>
          </a:extLst>
        </xdr:cNvPr>
        <xdr:cNvSpPr/>
      </xdr:nvSpPr>
      <xdr:spPr>
        <a:xfrm rot="5400000">
          <a:off x="8830369" y="4704893"/>
          <a:ext cx="445554" cy="18106292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50BB3985-B0E8-4269-B1D3-19EA6A090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3009" y="941297"/>
          <a:ext cx="2652775" cy="13161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W104"/>
  <sheetViews>
    <sheetView zoomScaleNormal="100" workbookViewId="0">
      <selection activeCell="B14" sqref="B14"/>
    </sheetView>
  </sheetViews>
  <sheetFormatPr defaultColWidth="10.85546875" defaultRowHeight="15" x14ac:dyDescent="0.25"/>
  <cols>
    <col min="1" max="1" width="30.140625" customWidth="1"/>
    <col min="2" max="2" width="85.85546875" customWidth="1"/>
    <col min="3" max="3" width="13" bestFit="1" customWidth="1"/>
    <col min="4" max="4" width="5.5703125" bestFit="1" customWidth="1"/>
    <col min="5" max="5" width="7.28515625" bestFit="1" customWidth="1"/>
    <col min="6" max="6" width="9" bestFit="1" customWidth="1"/>
  </cols>
  <sheetData>
    <row r="1" spans="1:23" s="1" customFormat="1" x14ac:dyDescent="0.25"/>
    <row r="2" spans="1:23" s="1" customFormat="1" x14ac:dyDescent="0.25"/>
    <row r="3" spans="1:23" s="1" customFormat="1" ht="23.25" x14ac:dyDescent="0.35">
      <c r="A3" s="12"/>
      <c r="B3" s="56" t="s">
        <v>0</v>
      </c>
    </row>
    <row r="4" spans="1:23" ht="15" customHeight="1" x14ac:dyDescent="0.3">
      <c r="A4" s="1"/>
      <c r="B4" s="1"/>
      <c r="C4" s="1"/>
      <c r="D4" s="1"/>
      <c r="E4" s="1"/>
      <c r="F4" s="1"/>
      <c r="G4" s="11"/>
      <c r="H4" s="5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ht="18.75" x14ac:dyDescent="0.3">
      <c r="A5" s="158" t="s">
        <v>1</v>
      </c>
      <c r="B5" s="159"/>
      <c r="C5" s="1"/>
      <c r="D5" s="1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ht="18.75" x14ac:dyDescent="0.3">
      <c r="A6" s="160"/>
      <c r="B6" s="161"/>
      <c r="C6" s="1"/>
      <c r="D6" s="1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ht="21" x14ac:dyDescent="0.25">
      <c r="A7" s="162" t="s">
        <v>2</v>
      </c>
      <c r="B7" s="163" t="s">
        <v>3</v>
      </c>
      <c r="C7" s="1"/>
      <c r="D7" s="1"/>
      <c r="E7" s="1"/>
      <c r="F7" s="1"/>
      <c r="G7" s="1"/>
      <c r="H7" s="1"/>
      <c r="I7" s="164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ht="21" x14ac:dyDescent="0.25">
      <c r="A8" s="162" t="s">
        <v>4</v>
      </c>
      <c r="B8" s="165"/>
      <c r="C8" s="1"/>
      <c r="D8" s="1"/>
      <c r="E8" s="1"/>
      <c r="F8" s="1"/>
      <c r="G8" s="1"/>
      <c r="H8" s="1"/>
      <c r="I8" s="164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ht="15.75" x14ac:dyDescent="0.25">
      <c r="A9" s="162" t="s">
        <v>5</v>
      </c>
      <c r="B9" s="163"/>
      <c r="C9" s="1"/>
      <c r="D9" s="1"/>
      <c r="E9" s="1"/>
      <c r="F9" s="1"/>
      <c r="G9" s="1"/>
      <c r="H9" s="1"/>
      <c r="I9" s="166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ht="18.75" x14ac:dyDescent="0.25">
      <c r="A10" s="162"/>
      <c r="B10" s="28"/>
      <c r="C10" s="1"/>
      <c r="D10" s="1"/>
      <c r="E10" s="1"/>
      <c r="F10" s="1"/>
      <c r="G10" s="1"/>
      <c r="H10" s="1"/>
      <c r="I10" s="167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ht="18.75" x14ac:dyDescent="0.25">
      <c r="A11" s="158" t="s">
        <v>6</v>
      </c>
      <c r="B11" s="159"/>
      <c r="C11" s="1"/>
      <c r="D11" s="1"/>
      <c r="E11" s="1"/>
      <c r="F11" s="1"/>
      <c r="G11" s="1"/>
      <c r="H11" s="1"/>
      <c r="I11" s="167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ht="18.75" x14ac:dyDescent="0.25">
      <c r="A12" s="160"/>
      <c r="B12" s="161"/>
      <c r="C12" s="1"/>
      <c r="D12" s="1"/>
      <c r="E12" s="1"/>
      <c r="F12" s="1"/>
      <c r="G12" s="1"/>
      <c r="H12" s="1"/>
      <c r="I12" s="167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ht="18.75" x14ac:dyDescent="0.25">
      <c r="A13" s="168" t="s">
        <v>7</v>
      </c>
      <c r="B13" s="14"/>
      <c r="C13" s="1"/>
      <c r="D13" s="1"/>
      <c r="E13" s="1"/>
      <c r="F13" s="1"/>
      <c r="G13" s="1"/>
      <c r="H13" s="1"/>
      <c r="I13" s="167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ht="18.75" x14ac:dyDescent="0.3">
      <c r="A14" s="1" t="s">
        <v>8</v>
      </c>
      <c r="B14" s="24" t="s">
        <v>9</v>
      </c>
      <c r="C14" s="1"/>
      <c r="D14" s="1"/>
      <c r="E14" s="1"/>
      <c r="F14" s="1"/>
      <c r="G14" s="1"/>
      <c r="H14" s="1"/>
      <c r="I14" s="54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ht="15" customHeight="1" x14ac:dyDescent="0.25">
      <c r="A15" s="5"/>
      <c r="B15" s="1"/>
      <c r="C15" s="1"/>
      <c r="D15" s="1"/>
      <c r="E15" s="1"/>
      <c r="F15" s="1"/>
      <c r="G15" s="1"/>
      <c r="H15" s="1"/>
      <c r="I15" s="167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ht="18.75" x14ac:dyDescent="0.25">
      <c r="A16" s="158" t="s">
        <v>10</v>
      </c>
      <c r="B16" s="159"/>
      <c r="C16" s="1"/>
      <c r="D16" s="1"/>
      <c r="E16" s="1"/>
      <c r="F16" s="1"/>
      <c r="G16" s="1"/>
      <c r="H16" s="1"/>
      <c r="I16" s="167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ht="18.75" x14ac:dyDescent="0.25">
      <c r="A17" s="160"/>
      <c r="B17" s="161"/>
      <c r="C17" s="1"/>
      <c r="D17" s="1"/>
      <c r="E17" s="1"/>
      <c r="F17" s="1"/>
      <c r="G17" s="1"/>
      <c r="H17" s="1"/>
      <c r="I17" s="167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s="193" customFormat="1" ht="18.75" x14ac:dyDescent="0.25">
      <c r="A18" s="190" t="s">
        <v>11</v>
      </c>
      <c r="B18" s="191" t="s">
        <v>12</v>
      </c>
      <c r="C18" s="178"/>
      <c r="D18" s="178"/>
      <c r="E18" s="178"/>
      <c r="F18" s="178"/>
      <c r="G18" s="178"/>
      <c r="H18" s="178"/>
      <c r="I18" s="192"/>
      <c r="J18" s="178"/>
      <c r="K18" s="178"/>
      <c r="L18" s="178"/>
      <c r="M18" s="178"/>
      <c r="N18" s="178"/>
      <c r="O18" s="178"/>
      <c r="P18" s="178"/>
      <c r="Q18" s="178"/>
      <c r="R18" s="178"/>
      <c r="S18" s="178"/>
      <c r="T18" s="178"/>
      <c r="U18" s="178"/>
      <c r="V18" s="178"/>
      <c r="W18" s="178"/>
    </row>
    <row r="19" spans="1:23" s="193" customFormat="1" ht="18.75" x14ac:dyDescent="0.3">
      <c r="A19" s="178" t="s">
        <v>13</v>
      </c>
      <c r="B19" s="194" t="s">
        <v>14</v>
      </c>
      <c r="C19" s="178"/>
      <c r="D19" s="178"/>
      <c r="E19" s="178"/>
      <c r="F19" s="178"/>
      <c r="G19" s="178"/>
      <c r="H19" s="178"/>
      <c r="I19" s="195"/>
      <c r="J19" s="178"/>
      <c r="K19" s="178"/>
      <c r="L19" s="178"/>
      <c r="M19" s="178"/>
      <c r="N19" s="178"/>
      <c r="O19" s="178"/>
      <c r="P19" s="178"/>
      <c r="Q19" s="178"/>
      <c r="R19" s="178"/>
      <c r="S19" s="178"/>
      <c r="T19" s="178"/>
      <c r="U19" s="178"/>
      <c r="V19" s="178"/>
      <c r="W19" s="178"/>
    </row>
    <row r="20" spans="1:23" ht="15" customHeight="1" x14ac:dyDescent="0.25">
      <c r="A20" s="5"/>
      <c r="B20" s="1"/>
      <c r="C20" s="1"/>
      <c r="D20" s="1"/>
      <c r="E20" s="1"/>
      <c r="F20" s="1"/>
      <c r="G20" s="1"/>
      <c r="H20" s="1"/>
      <c r="I20" s="167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217" t="s">
        <v>15</v>
      </c>
      <c r="B21" s="66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71"/>
      <c r="B22" s="70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65" t="s">
        <v>16</v>
      </c>
      <c r="B23" s="66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1" t="s">
        <v>17</v>
      </c>
      <c r="B24" s="68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1" t="s">
        <v>18</v>
      </c>
      <c r="B25" s="68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72"/>
      <c r="B26" s="70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65" t="s">
        <v>19</v>
      </c>
      <c r="B27" s="68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1" t="s">
        <v>20</v>
      </c>
      <c r="B28" s="68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1" t="s">
        <v>21</v>
      </c>
      <c r="B29" s="68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1" t="s">
        <v>22</v>
      </c>
      <c r="B30" s="68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69"/>
      <c r="B31" s="70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65" t="s">
        <v>23</v>
      </c>
      <c r="B32" s="66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1" t="s">
        <v>24</v>
      </c>
      <c r="B33" s="68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1" t="s">
        <v>25</v>
      </c>
      <c r="B34" s="68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1" t="s">
        <v>26</v>
      </c>
      <c r="B35" s="68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73"/>
      <c r="B36" s="70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65" t="s">
        <v>27</v>
      </c>
      <c r="B37" s="66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67" t="s">
        <v>28</v>
      </c>
      <c r="B38" s="68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67" t="s">
        <v>29</v>
      </c>
      <c r="B39" s="68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67" t="s">
        <v>30</v>
      </c>
      <c r="B40" s="68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71"/>
      <c r="B41" s="70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ht="1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ht="1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ht="1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ht="15.7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s="10" customFormat="1" ht="15.75" customHeight="1" x14ac:dyDescent="0.25">
      <c r="A55" s="1"/>
      <c r="B55" s="1"/>
      <c r="C55" s="1"/>
      <c r="D55" s="1"/>
      <c r="E55" s="1"/>
      <c r="F55" s="1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</row>
    <row r="56" spans="1:23" s="10" customFormat="1" ht="15.75" x14ac:dyDescent="0.25">
      <c r="A56" s="1"/>
      <c r="B56" s="1"/>
      <c r="C56" s="1"/>
      <c r="D56" s="1"/>
      <c r="E56" s="1"/>
      <c r="F56" s="1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</row>
    <row r="57" spans="1:23" s="10" customFormat="1" ht="15.75" x14ac:dyDescent="0.25">
      <c r="A57" s="1"/>
      <c r="B57" s="1"/>
      <c r="C57" s="1"/>
      <c r="D57" s="1"/>
      <c r="E57" s="1"/>
      <c r="F57" s="1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</row>
    <row r="58" spans="1:23" s="10" customFormat="1" ht="15.75" x14ac:dyDescent="0.25">
      <c r="A58" s="8"/>
      <c r="B58" s="9"/>
      <c r="C58" s="9"/>
      <c r="D58" s="9"/>
      <c r="E58" s="9"/>
      <c r="F58" s="9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</row>
    <row r="59" spans="1:23" ht="15.75" x14ac:dyDescent="0.25">
      <c r="A59" s="8"/>
      <c r="B59" s="8"/>
      <c r="C59" s="8"/>
      <c r="D59" s="8"/>
      <c r="E59" s="8"/>
      <c r="F59" s="8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ht="15.75" x14ac:dyDescent="0.25">
      <c r="A60" s="8"/>
      <c r="B60" s="8"/>
      <c r="C60" s="8"/>
      <c r="D60" s="8"/>
      <c r="E60" s="8"/>
      <c r="F60" s="8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ht="15.75" x14ac:dyDescent="0.25">
      <c r="A61" s="8"/>
      <c r="B61" s="8"/>
      <c r="C61" s="8"/>
      <c r="D61" s="8"/>
      <c r="E61" s="8"/>
      <c r="F61" s="8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ht="18.75" x14ac:dyDescent="0.3">
      <c r="A65" s="7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ht="18.75" x14ac:dyDescent="0.3">
      <c r="A66" s="2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</row>
    <row r="88" spans="1:23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</row>
    <row r="89" spans="1:23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</row>
    <row r="90" spans="1:23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</row>
    <row r="91" spans="1:23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</row>
    <row r="92" spans="1:23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</row>
    <row r="93" spans="1:23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</row>
    <row r="94" spans="1:23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</row>
    <row r="95" spans="1:23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</row>
    <row r="96" spans="1:23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</row>
    <row r="97" spans="1:23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</row>
    <row r="98" spans="1:23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</row>
    <row r="99" spans="1:23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</row>
    <row r="100" spans="1:23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</row>
    <row r="101" spans="1:23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</row>
    <row r="102" spans="1:23" x14ac:dyDescent="0.25">
      <c r="A102" s="1"/>
      <c r="B102" s="1"/>
      <c r="C102" s="1"/>
      <c r="D102" s="1"/>
      <c r="E102" s="1"/>
      <c r="F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</row>
    <row r="103" spans="1:23" x14ac:dyDescent="0.25">
      <c r="A103" s="1"/>
      <c r="B103" s="1"/>
      <c r="C103" s="1"/>
      <c r="D103" s="1"/>
      <c r="E103" s="1"/>
      <c r="F103" s="1"/>
    </row>
    <row r="104" spans="1:23" x14ac:dyDescent="0.25">
      <c r="A104" s="1"/>
      <c r="B104" s="1"/>
      <c r="C104" s="1"/>
      <c r="D104" s="1"/>
      <c r="E104" s="1"/>
      <c r="F104" s="1"/>
    </row>
  </sheetData>
  <pageMargins left="0.7" right="0.7" top="0.78740157499999996" bottom="0.78740157499999996" header="0.3" footer="0.3"/>
  <pageSetup paperSize="9" scale="48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EEE64-9F0A-46CF-BCD5-DCC9EEC8867A}">
  <sheetPr codeName="Tabelle5"/>
  <dimension ref="A1:X129"/>
  <sheetViews>
    <sheetView topLeftCell="A4" zoomScaleNormal="100" workbookViewId="0">
      <selection activeCell="B80" sqref="B80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59" t="s">
        <v>118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28" t="s">
        <v>32</v>
      </c>
      <c r="C6" s="229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44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30" t="s">
        <v>46</v>
      </c>
      <c r="J12" s="231"/>
      <c r="K12" s="231"/>
      <c r="L12" s="231"/>
      <c r="M12" s="232"/>
      <c r="O12" s="78" t="s">
        <v>37</v>
      </c>
      <c r="P12" s="78" t="str">
        <f>P10</f>
        <v>monetary_value</v>
      </c>
      <c r="Q12" s="78" t="str">
        <f t="shared" ref="Q12:T12" si="0">Q10</f>
        <v>EUR</v>
      </c>
      <c r="R12" s="78"/>
      <c r="S12" s="78" t="str">
        <f t="shared" si="0"/>
        <v>climate_change_total</v>
      </c>
      <c r="T12" s="78" t="str">
        <f t="shared" si="0"/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117</v>
      </c>
      <c r="C15" s="13"/>
      <c r="D15" s="95">
        <v>2170.3000000000002</v>
      </c>
      <c r="E15" s="19" t="s">
        <v>111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Plastics in Households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25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 t="shared" ref="O16:O18" si="1">IF(B16="","",B16)</f>
        <v/>
      </c>
      <c r="P16" s="84"/>
      <c r="Q16" s="39" t="str">
        <f t="shared" ref="Q16:Q29" si="2">IF(P16&lt;&gt;0,Q$12,"")</f>
        <v/>
      </c>
      <c r="R16" s="33"/>
      <c r="S16" s="32"/>
      <c r="T16" s="19" t="str">
        <f t="shared" ref="T16:T29" si="3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 t="shared" si="1"/>
        <v/>
      </c>
      <c r="P17" s="84"/>
      <c r="Q17" s="39"/>
      <c r="R17" s="76"/>
      <c r="S17" s="74"/>
      <c r="T17" s="19" t="str">
        <f t="shared" si="3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 t="shared" si="1"/>
        <v/>
      </c>
      <c r="P18" s="84"/>
      <c r="Q18" s="39" t="str">
        <f t="shared" si="2"/>
        <v/>
      </c>
      <c r="R18" s="76"/>
      <c r="S18" s="74"/>
      <c r="T18" s="19" t="str">
        <f t="shared" si="3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2"/>
        <v/>
      </c>
      <c r="R19" s="76"/>
      <c r="S19" s="74"/>
      <c r="T19" s="19" t="str">
        <f t="shared" si="3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4">IF(B20="","",B20)</f>
        <v/>
      </c>
      <c r="P20" s="84"/>
      <c r="Q20" s="39" t="str">
        <f t="shared" si="2"/>
        <v/>
      </c>
      <c r="R20" s="35"/>
      <c r="S20" s="34"/>
      <c r="T20" s="19" t="str">
        <f t="shared" si="3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4"/>
        <v/>
      </c>
      <c r="P21" s="84"/>
      <c r="Q21" s="39" t="str">
        <f t="shared" si="2"/>
        <v/>
      </c>
      <c r="R21" s="35"/>
      <c r="S21" s="34"/>
      <c r="T21" s="19" t="str">
        <f t="shared" si="3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4"/>
        <v/>
      </c>
      <c r="P22" s="84"/>
      <c r="Q22" s="39" t="str">
        <f t="shared" si="2"/>
        <v/>
      </c>
      <c r="R22" s="35"/>
      <c r="S22" s="34"/>
      <c r="T22" s="19" t="str">
        <f t="shared" si="3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4"/>
        <v/>
      </c>
      <c r="P23" s="84"/>
      <c r="Q23" s="39" t="str">
        <f t="shared" si="2"/>
        <v/>
      </c>
      <c r="R23" s="35"/>
      <c r="S23" s="34"/>
      <c r="T23" s="19" t="str">
        <f t="shared" si="3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4"/>
        <v/>
      </c>
      <c r="P24" s="84"/>
      <c r="Q24" s="39" t="str">
        <f t="shared" si="2"/>
        <v/>
      </c>
      <c r="R24" s="35"/>
      <c r="S24" s="34"/>
      <c r="T24" s="19" t="str">
        <f t="shared" si="3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4"/>
        <v/>
      </c>
      <c r="P25" s="84"/>
      <c r="Q25" s="39" t="str">
        <f t="shared" si="2"/>
        <v/>
      </c>
      <c r="R25" s="35"/>
      <c r="S25" s="34"/>
      <c r="T25" s="19" t="str">
        <f t="shared" si="3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4"/>
        <v/>
      </c>
      <c r="P26" s="84"/>
      <c r="Q26" s="39" t="str">
        <f t="shared" si="2"/>
        <v/>
      </c>
      <c r="R26" s="37"/>
      <c r="S26" s="36"/>
      <c r="T26" s="19" t="str">
        <f t="shared" si="3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2"/>
        <v/>
      </c>
      <c r="R27" s="37"/>
      <c r="S27" s="36"/>
      <c r="T27" s="19" t="str">
        <f t="shared" si="3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 t="shared" ref="O28:O29" si="5">IF(B28="","",B28)</f>
        <v/>
      </c>
      <c r="P28" s="84"/>
      <c r="Q28" s="39" t="str">
        <f t="shared" si="2"/>
        <v/>
      </c>
      <c r="R28" s="37"/>
      <c r="S28" s="36"/>
      <c r="T28" s="19" t="str">
        <f t="shared" si="3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 t="shared" si="5"/>
        <v/>
      </c>
      <c r="P29" s="84"/>
      <c r="Q29" s="39" t="str">
        <f t="shared" si="2"/>
        <v/>
      </c>
      <c r="R29" s="37"/>
      <c r="S29" s="36"/>
      <c r="T29" s="19" t="str">
        <f t="shared" si="3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33" t="s">
        <v>46</v>
      </c>
      <c r="J76" s="234"/>
      <c r="K76" s="234"/>
      <c r="L76" s="234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119</v>
      </c>
      <c r="C79" s="82"/>
      <c r="D79" s="95">
        <v>425</v>
      </c>
      <c r="E79" s="19" t="s">
        <v>111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PET Deposit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120" t="s">
        <v>121</v>
      </c>
      <c r="C80" s="82"/>
      <c r="D80" s="95">
        <v>1198.7</v>
      </c>
      <c r="E80" s="19" t="s">
        <v>111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 t="shared" ref="O80:O91" si="6">IF(B80="","",B80)</f>
        <v>Plastics in Different DS</v>
      </c>
      <c r="P80" s="62"/>
      <c r="Q80" s="19" t="str">
        <f t="shared" ref="Q80:Q91" si="7">IF(P80&lt;&gt;0,Q$12,"")</f>
        <v/>
      </c>
      <c r="R80" s="41"/>
      <c r="S80" s="63"/>
      <c r="T80" s="19" t="str">
        <f t="shared" ref="T80:T91" si="8">IF(S80&lt;&gt;0,T$12,"")</f>
        <v/>
      </c>
      <c r="U80" s="64"/>
    </row>
    <row r="81" spans="1:21" x14ac:dyDescent="0.25">
      <c r="A81" s="221" t="s">
        <v>105</v>
      </c>
      <c r="B81" s="120" t="s">
        <v>120</v>
      </c>
      <c r="C81" s="87"/>
      <c r="D81" s="95">
        <v>538.1</v>
      </c>
      <c r="E81" s="19" t="s">
        <v>111</v>
      </c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si="6"/>
        <v>Waste</v>
      </c>
      <c r="P81" s="62"/>
      <c r="Q81" s="19" t="str">
        <f t="shared" si="7"/>
        <v/>
      </c>
      <c r="R81" s="41"/>
      <c r="S81" s="63"/>
      <c r="T81" s="19" t="str">
        <f t="shared" si="8"/>
        <v/>
      </c>
      <c r="U81" s="64"/>
    </row>
    <row r="82" spans="1:21" ht="15" customHeight="1" x14ac:dyDescent="0.25">
      <c r="A82" s="221" t="s">
        <v>105</v>
      </c>
      <c r="B82" s="120"/>
      <c r="C82" s="87"/>
      <c r="D82"/>
      <c r="E82" s="19"/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6"/>
        <v/>
      </c>
      <c r="P82" s="62"/>
      <c r="Q82" s="19" t="str">
        <f t="shared" si="7"/>
        <v/>
      </c>
      <c r="R82" s="41"/>
      <c r="S82" s="63"/>
      <c r="T82" s="19" t="str">
        <f t="shared" si="8"/>
        <v/>
      </c>
      <c r="U82" s="64"/>
    </row>
    <row r="83" spans="1:21" x14ac:dyDescent="0.25">
      <c r="A83" s="221" t="s">
        <v>106</v>
      </c>
      <c r="B83" s="85"/>
      <c r="C83" s="97"/>
      <c r="D83" s="98"/>
      <c r="E83" s="99"/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6"/>
        <v/>
      </c>
      <c r="P83" s="62"/>
      <c r="Q83" s="19" t="str">
        <f t="shared" si="7"/>
        <v/>
      </c>
      <c r="R83" s="41"/>
      <c r="S83" s="63"/>
      <c r="T83" s="19" t="str">
        <f t="shared" si="8"/>
        <v/>
      </c>
      <c r="U83" s="64"/>
    </row>
    <row r="84" spans="1:21" x14ac:dyDescent="0.25">
      <c r="A84" s="221" t="s">
        <v>106</v>
      </c>
      <c r="B84" s="85"/>
      <c r="C84" s="97"/>
      <c r="D84" s="98"/>
      <c r="E84" s="99"/>
      <c r="F84" s="19"/>
      <c r="G84" s="19"/>
      <c r="H84" s="96"/>
      <c r="I84" s="212"/>
      <c r="J84" s="213"/>
      <c r="K84" s="173"/>
      <c r="L84" s="222"/>
      <c r="M84" s="64"/>
      <c r="N84" s="206"/>
      <c r="O84" s="139" t="str">
        <f t="shared" si="6"/>
        <v/>
      </c>
      <c r="P84" s="62"/>
      <c r="Q84" s="19" t="str">
        <f t="shared" si="7"/>
        <v/>
      </c>
      <c r="R84" s="41"/>
      <c r="S84" s="63"/>
      <c r="T84" s="19" t="str">
        <f t="shared" si="8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6"/>
        <v/>
      </c>
      <c r="P85" s="62"/>
      <c r="Q85" s="19" t="str">
        <f t="shared" si="7"/>
        <v/>
      </c>
      <c r="R85" s="41"/>
      <c r="S85" s="63"/>
      <c r="T85" s="19" t="str">
        <f t="shared" si="8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6"/>
        <v/>
      </c>
      <c r="P86" s="62"/>
      <c r="Q86" s="19" t="str">
        <f t="shared" si="7"/>
        <v/>
      </c>
      <c r="R86" s="41"/>
      <c r="S86" s="63"/>
      <c r="T86" s="19" t="str">
        <f t="shared" si="8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6"/>
        <v/>
      </c>
      <c r="P87" s="62"/>
      <c r="Q87" s="19" t="str">
        <f t="shared" si="7"/>
        <v/>
      </c>
      <c r="R87" s="41"/>
      <c r="S87" s="63"/>
      <c r="T87" s="19" t="str">
        <f t="shared" si="8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6"/>
        <v/>
      </c>
      <c r="P88" s="62"/>
      <c r="Q88" s="19" t="str">
        <f t="shared" si="7"/>
        <v/>
      </c>
      <c r="R88" s="41"/>
      <c r="S88" s="63"/>
      <c r="T88" s="19" t="str">
        <f t="shared" si="8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6"/>
        <v/>
      </c>
      <c r="P89" s="62"/>
      <c r="Q89" s="19" t="str">
        <f t="shared" si="7"/>
        <v/>
      </c>
      <c r="R89" s="41"/>
      <c r="S89" s="63"/>
      <c r="T89" s="19" t="str">
        <f t="shared" si="8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6"/>
        <v/>
      </c>
      <c r="P90" s="62"/>
      <c r="Q90" s="19" t="str">
        <f t="shared" si="7"/>
        <v/>
      </c>
      <c r="R90" s="41"/>
      <c r="S90" s="63"/>
      <c r="T90" s="19" t="str">
        <f t="shared" si="8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6"/>
        <v/>
      </c>
      <c r="P91" s="62"/>
      <c r="Q91" s="19" t="str">
        <f t="shared" si="7"/>
        <v/>
      </c>
      <c r="R91" s="41"/>
      <c r="S91" s="63"/>
      <c r="T91" s="19" t="str">
        <f t="shared" si="8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DDF27-8A0B-4FAC-984C-649EB7428E85}">
  <sheetPr codeName="Tabelle3"/>
  <dimension ref="A1:X129"/>
  <sheetViews>
    <sheetView topLeftCell="A42" zoomScaleNormal="100" workbookViewId="0">
      <selection activeCell="B15" sqref="B15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59" t="s">
        <v>131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28" t="s">
        <v>32</v>
      </c>
      <c r="C6" s="229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109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30" t="s">
        <v>46</v>
      </c>
      <c r="J12" s="231"/>
      <c r="K12" s="231"/>
      <c r="L12" s="231"/>
      <c r="M12" s="232"/>
      <c r="O12" s="78" t="s">
        <v>37</v>
      </c>
      <c r="P12" s="78" t="str">
        <f>P10</f>
        <v>monetary_value</v>
      </c>
      <c r="Q12" s="78" t="str">
        <f t="shared" ref="Q12:T12" si="0">Q10</f>
        <v>EUR</v>
      </c>
      <c r="R12" s="78"/>
      <c r="S12" s="78" t="str">
        <f t="shared" si="0"/>
        <v>climate_change_total</v>
      </c>
      <c r="T12" s="78" t="str">
        <f t="shared" si="0"/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121</v>
      </c>
      <c r="C15" s="13"/>
      <c r="D15" s="95">
        <v>1198.7</v>
      </c>
      <c r="E15" s="19" t="s">
        <v>111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Plastics in Different DS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25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 t="shared" ref="O16:O18" si="1">IF(B16="","",B16)</f>
        <v/>
      </c>
      <c r="P16" s="84"/>
      <c r="Q16" s="39" t="str">
        <f t="shared" ref="Q16:Q29" si="2">IF(P16&lt;&gt;0,Q$12,"")</f>
        <v/>
      </c>
      <c r="R16" s="33"/>
      <c r="S16" s="32"/>
      <c r="T16" s="19" t="str">
        <f t="shared" ref="T16:T29" si="3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 t="shared" si="1"/>
        <v/>
      </c>
      <c r="P17" s="84"/>
      <c r="Q17" s="39"/>
      <c r="R17" s="76"/>
      <c r="S17" s="74"/>
      <c r="T17" s="19" t="str">
        <f t="shared" si="3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 t="shared" si="1"/>
        <v/>
      </c>
      <c r="P18" s="84"/>
      <c r="Q18" s="39" t="str">
        <f t="shared" si="2"/>
        <v/>
      </c>
      <c r="R18" s="76"/>
      <c r="S18" s="74"/>
      <c r="T18" s="19" t="str">
        <f t="shared" si="3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2"/>
        <v/>
      </c>
      <c r="R19" s="76"/>
      <c r="S19" s="74"/>
      <c r="T19" s="19" t="str">
        <f t="shared" si="3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4">IF(B20="","",B20)</f>
        <v/>
      </c>
      <c r="P20" s="84"/>
      <c r="Q20" s="39" t="str">
        <f t="shared" si="2"/>
        <v/>
      </c>
      <c r="R20" s="35"/>
      <c r="S20" s="34"/>
      <c r="T20" s="19" t="str">
        <f t="shared" si="3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4"/>
        <v/>
      </c>
      <c r="P21" s="84"/>
      <c r="Q21" s="39" t="str">
        <f t="shared" si="2"/>
        <v/>
      </c>
      <c r="R21" s="35"/>
      <c r="S21" s="34"/>
      <c r="T21" s="19" t="str">
        <f t="shared" si="3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4"/>
        <v/>
      </c>
      <c r="P22" s="84"/>
      <c r="Q22" s="39" t="str">
        <f t="shared" si="2"/>
        <v/>
      </c>
      <c r="R22" s="35"/>
      <c r="S22" s="34"/>
      <c r="T22" s="19" t="str">
        <f t="shared" si="3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4"/>
        <v/>
      </c>
      <c r="P23" s="84"/>
      <c r="Q23" s="39" t="str">
        <f t="shared" si="2"/>
        <v/>
      </c>
      <c r="R23" s="35"/>
      <c r="S23" s="34"/>
      <c r="T23" s="19" t="str">
        <f t="shared" si="3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4"/>
        <v/>
      </c>
      <c r="P24" s="84"/>
      <c r="Q24" s="39" t="str">
        <f t="shared" si="2"/>
        <v/>
      </c>
      <c r="R24" s="35"/>
      <c r="S24" s="34"/>
      <c r="T24" s="19" t="str">
        <f t="shared" si="3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4"/>
        <v/>
      </c>
      <c r="P25" s="84"/>
      <c r="Q25" s="39" t="str">
        <f t="shared" si="2"/>
        <v/>
      </c>
      <c r="R25" s="35"/>
      <c r="S25" s="34"/>
      <c r="T25" s="19" t="str">
        <f t="shared" si="3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4"/>
        <v/>
      </c>
      <c r="P26" s="84"/>
      <c r="Q26" s="39" t="str">
        <f t="shared" si="2"/>
        <v/>
      </c>
      <c r="R26" s="37"/>
      <c r="S26" s="36"/>
      <c r="T26" s="19" t="str">
        <f t="shared" si="3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2"/>
        <v/>
      </c>
      <c r="R27" s="37"/>
      <c r="S27" s="36"/>
      <c r="T27" s="19" t="str">
        <f t="shared" si="3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 t="shared" ref="O28:O29" si="5">IF(B28="","",B28)</f>
        <v/>
      </c>
      <c r="P28" s="84"/>
      <c r="Q28" s="39" t="str">
        <f t="shared" si="2"/>
        <v/>
      </c>
      <c r="R28" s="37"/>
      <c r="S28" s="36"/>
      <c r="T28" s="19" t="str">
        <f t="shared" si="3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 t="shared" si="5"/>
        <v/>
      </c>
      <c r="P29" s="84"/>
      <c r="Q29" s="39" t="str">
        <f t="shared" si="2"/>
        <v/>
      </c>
      <c r="R29" s="37"/>
      <c r="S29" s="36"/>
      <c r="T29" s="19" t="str">
        <f t="shared" si="3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33" t="s">
        <v>46</v>
      </c>
      <c r="J76" s="234"/>
      <c r="K76" s="234"/>
      <c r="L76" s="234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116</v>
      </c>
      <c r="C79" s="82"/>
      <c r="D79" s="95">
        <v>419</v>
      </c>
      <c r="E79" s="19" t="s">
        <v>111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Mixed Plastics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120" t="s">
        <v>122</v>
      </c>
      <c r="C80" s="82"/>
      <c r="D80" s="95">
        <v>186.2</v>
      </c>
      <c r="E80" s="19" t="s">
        <v>111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 t="shared" ref="O80:O91" si="6">IF(B80="","",B80)</f>
        <v>PP-flow</v>
      </c>
      <c r="P80" s="62"/>
      <c r="Q80" s="19" t="str">
        <f t="shared" ref="Q80:Q91" si="7">IF(P80&lt;&gt;0,Q$12,"")</f>
        <v/>
      </c>
      <c r="R80" s="41"/>
      <c r="S80" s="63"/>
      <c r="T80" s="19" t="str">
        <f t="shared" ref="T80:T91" si="8">IF(S80&lt;&gt;0,T$12,"")</f>
        <v/>
      </c>
      <c r="U80" s="64"/>
    </row>
    <row r="81" spans="1:21" x14ac:dyDescent="0.25">
      <c r="A81" s="221" t="s">
        <v>105</v>
      </c>
      <c r="B81" s="120" t="s">
        <v>123</v>
      </c>
      <c r="C81" s="87"/>
      <c r="D81" s="95">
        <v>38.9</v>
      </c>
      <c r="E81" s="19" t="s">
        <v>111</v>
      </c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si="6"/>
        <v>PS-flow</v>
      </c>
      <c r="P81" s="62"/>
      <c r="Q81" s="19" t="str">
        <f t="shared" si="7"/>
        <v/>
      </c>
      <c r="R81" s="41"/>
      <c r="S81" s="63"/>
      <c r="T81" s="19" t="str">
        <f t="shared" si="8"/>
        <v/>
      </c>
      <c r="U81" s="64"/>
    </row>
    <row r="82" spans="1:21" ht="15" customHeight="1" x14ac:dyDescent="0.25">
      <c r="A82" s="221" t="s">
        <v>105</v>
      </c>
      <c r="B82" s="120" t="s">
        <v>124</v>
      </c>
      <c r="C82" s="87"/>
      <c r="D82" s="226">
        <v>147</v>
      </c>
      <c r="E82" s="19" t="s">
        <v>111</v>
      </c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6"/>
        <v>PET-flow</v>
      </c>
      <c r="P82" s="62"/>
      <c r="Q82" s="19" t="str">
        <f t="shared" si="7"/>
        <v/>
      </c>
      <c r="R82" s="41"/>
      <c r="S82" s="63"/>
      <c r="T82" s="19" t="str">
        <f t="shared" si="8"/>
        <v/>
      </c>
      <c r="U82" s="64"/>
    </row>
    <row r="83" spans="1:21" x14ac:dyDescent="0.25">
      <c r="A83" s="221" t="s">
        <v>106</v>
      </c>
      <c r="B83" s="85" t="s">
        <v>125</v>
      </c>
      <c r="C83" s="97"/>
      <c r="D83" s="98">
        <v>104.9</v>
      </c>
      <c r="E83" s="99" t="s">
        <v>111</v>
      </c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6"/>
        <v>HDPE-flow</v>
      </c>
      <c r="P83" s="62"/>
      <c r="Q83" s="19" t="str">
        <f t="shared" si="7"/>
        <v/>
      </c>
      <c r="R83" s="41"/>
      <c r="S83" s="63"/>
      <c r="T83" s="19" t="str">
        <f t="shared" si="8"/>
        <v/>
      </c>
      <c r="U83" s="64"/>
    </row>
    <row r="84" spans="1:21" x14ac:dyDescent="0.25">
      <c r="A84" s="221" t="s">
        <v>106</v>
      </c>
      <c r="B84" s="85" t="s">
        <v>126</v>
      </c>
      <c r="C84" s="97"/>
      <c r="D84" s="98">
        <v>302.7</v>
      </c>
      <c r="E84" s="99" t="s">
        <v>111</v>
      </c>
      <c r="F84" s="19"/>
      <c r="G84" s="19"/>
      <c r="H84" s="96"/>
      <c r="I84" s="212"/>
      <c r="J84" s="213"/>
      <c r="K84" s="173"/>
      <c r="L84" s="222"/>
      <c r="M84" s="64"/>
      <c r="N84" s="206"/>
      <c r="O84" s="139" t="str">
        <f t="shared" si="6"/>
        <v>Film-flow</v>
      </c>
      <c r="P84" s="62"/>
      <c r="Q84" s="19" t="str">
        <f t="shared" si="7"/>
        <v/>
      </c>
      <c r="R84" s="41"/>
      <c r="S84" s="63"/>
      <c r="T84" s="19" t="str">
        <f t="shared" si="8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6"/>
        <v/>
      </c>
      <c r="P85" s="62"/>
      <c r="Q85" s="19" t="str">
        <f t="shared" si="7"/>
        <v/>
      </c>
      <c r="R85" s="41"/>
      <c r="S85" s="63"/>
      <c r="T85" s="19" t="str">
        <f t="shared" si="8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6"/>
        <v/>
      </c>
      <c r="P86" s="62"/>
      <c r="Q86" s="19" t="str">
        <f t="shared" si="7"/>
        <v/>
      </c>
      <c r="R86" s="41"/>
      <c r="S86" s="63"/>
      <c r="T86" s="19" t="str">
        <f t="shared" si="8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6"/>
        <v/>
      </c>
      <c r="P87" s="62"/>
      <c r="Q87" s="19" t="str">
        <f t="shared" si="7"/>
        <v/>
      </c>
      <c r="R87" s="41"/>
      <c r="S87" s="63"/>
      <c r="T87" s="19" t="str">
        <f t="shared" si="8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6"/>
        <v/>
      </c>
      <c r="P88" s="62"/>
      <c r="Q88" s="19" t="str">
        <f t="shared" si="7"/>
        <v/>
      </c>
      <c r="R88" s="41"/>
      <c r="S88" s="63"/>
      <c r="T88" s="19" t="str">
        <f t="shared" si="8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6"/>
        <v/>
      </c>
      <c r="P89" s="62"/>
      <c r="Q89" s="19" t="str">
        <f t="shared" si="7"/>
        <v/>
      </c>
      <c r="R89" s="41"/>
      <c r="S89" s="63"/>
      <c r="T89" s="19" t="str">
        <f t="shared" si="8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6"/>
        <v/>
      </c>
      <c r="P90" s="62"/>
      <c r="Q90" s="19" t="str">
        <f t="shared" si="7"/>
        <v/>
      </c>
      <c r="R90" s="41"/>
      <c r="S90" s="63"/>
      <c r="T90" s="19" t="str">
        <f t="shared" si="8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6"/>
        <v/>
      </c>
      <c r="P91" s="62"/>
      <c r="Q91" s="19" t="str">
        <f t="shared" si="7"/>
        <v/>
      </c>
      <c r="R91" s="41"/>
      <c r="S91" s="63"/>
      <c r="T91" s="19" t="str">
        <f t="shared" si="8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F6C81-6DF8-4A94-8A2D-98FA0B227B1B}">
  <sheetPr codeName="Tabelle4"/>
  <dimension ref="A1:X129"/>
  <sheetViews>
    <sheetView topLeftCell="A16" zoomScaleNormal="100" workbookViewId="0">
      <selection activeCell="B79" sqref="B79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59" t="s">
        <v>130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28" t="s">
        <v>32</v>
      </c>
      <c r="C6" s="229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109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30" t="s">
        <v>46</v>
      </c>
      <c r="J12" s="231"/>
      <c r="K12" s="231"/>
      <c r="L12" s="231"/>
      <c r="M12" s="232"/>
      <c r="O12" s="78" t="s">
        <v>37</v>
      </c>
      <c r="P12" s="78" t="str">
        <f>P10</f>
        <v>monetary_value</v>
      </c>
      <c r="Q12" s="78" t="str">
        <f t="shared" ref="Q12:T12" si="0">Q10</f>
        <v>EUR</v>
      </c>
      <c r="R12" s="78"/>
      <c r="S12" s="78" t="str">
        <f t="shared" si="0"/>
        <v>climate_change_total</v>
      </c>
      <c r="T12" s="78" t="str">
        <f t="shared" si="0"/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122</v>
      </c>
      <c r="C15" s="13" t="s">
        <v>127</v>
      </c>
      <c r="D15" s="95">
        <v>186.2</v>
      </c>
      <c r="E15" s="19" t="s">
        <v>111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PP-flow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25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 t="shared" ref="O16:O18" si="1">IF(B16="","",B16)</f>
        <v/>
      </c>
      <c r="P16" s="84"/>
      <c r="Q16" s="39" t="str">
        <f t="shared" ref="Q16:Q29" si="2">IF(P16&lt;&gt;0,Q$12,"")</f>
        <v/>
      </c>
      <c r="R16" s="33"/>
      <c r="S16" s="32"/>
      <c r="T16" s="19" t="str">
        <f t="shared" ref="T16:T29" si="3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 t="shared" si="1"/>
        <v/>
      </c>
      <c r="P17" s="84"/>
      <c r="Q17" s="39"/>
      <c r="R17" s="76"/>
      <c r="S17" s="74"/>
      <c r="T17" s="19" t="str">
        <f t="shared" si="3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 t="shared" si="1"/>
        <v/>
      </c>
      <c r="P18" s="84"/>
      <c r="Q18" s="39" t="str">
        <f t="shared" si="2"/>
        <v/>
      </c>
      <c r="R18" s="76"/>
      <c r="S18" s="74"/>
      <c r="T18" s="19" t="str">
        <f t="shared" si="3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2"/>
        <v/>
      </c>
      <c r="R19" s="76"/>
      <c r="S19" s="74"/>
      <c r="T19" s="19" t="str">
        <f t="shared" si="3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4">IF(B20="","",B20)</f>
        <v/>
      </c>
      <c r="P20" s="84"/>
      <c r="Q20" s="39" t="str">
        <f t="shared" si="2"/>
        <v/>
      </c>
      <c r="R20" s="35"/>
      <c r="S20" s="34"/>
      <c r="T20" s="19" t="str">
        <f t="shared" si="3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4"/>
        <v/>
      </c>
      <c r="P21" s="84"/>
      <c r="Q21" s="39" t="str">
        <f t="shared" si="2"/>
        <v/>
      </c>
      <c r="R21" s="35"/>
      <c r="S21" s="34"/>
      <c r="T21" s="19" t="str">
        <f t="shared" si="3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4"/>
        <v/>
      </c>
      <c r="P22" s="84"/>
      <c r="Q22" s="39" t="str">
        <f t="shared" si="2"/>
        <v/>
      </c>
      <c r="R22" s="35"/>
      <c r="S22" s="34"/>
      <c r="T22" s="19" t="str">
        <f t="shared" si="3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4"/>
        <v/>
      </c>
      <c r="P23" s="84"/>
      <c r="Q23" s="39" t="str">
        <f t="shared" si="2"/>
        <v/>
      </c>
      <c r="R23" s="35"/>
      <c r="S23" s="34"/>
      <c r="T23" s="19" t="str">
        <f t="shared" si="3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4"/>
        <v/>
      </c>
      <c r="P24" s="84"/>
      <c r="Q24" s="39" t="str">
        <f t="shared" si="2"/>
        <v/>
      </c>
      <c r="R24" s="35"/>
      <c r="S24" s="34"/>
      <c r="T24" s="19" t="str">
        <f t="shared" si="3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4"/>
        <v/>
      </c>
      <c r="P25" s="84"/>
      <c r="Q25" s="39" t="str">
        <f t="shared" si="2"/>
        <v/>
      </c>
      <c r="R25" s="35"/>
      <c r="S25" s="34"/>
      <c r="T25" s="19" t="str">
        <f t="shared" si="3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4"/>
        <v/>
      </c>
      <c r="P26" s="84"/>
      <c r="Q26" s="39" t="str">
        <f t="shared" si="2"/>
        <v/>
      </c>
      <c r="R26" s="37"/>
      <c r="S26" s="36"/>
      <c r="T26" s="19" t="str">
        <f t="shared" si="3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2"/>
        <v/>
      </c>
      <c r="R27" s="37"/>
      <c r="S27" s="36"/>
      <c r="T27" s="19" t="str">
        <f t="shared" si="3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 t="shared" ref="O28:O29" si="5">IF(B28="","",B28)</f>
        <v/>
      </c>
      <c r="P28" s="84"/>
      <c r="Q28" s="39" t="str">
        <f t="shared" si="2"/>
        <v/>
      </c>
      <c r="R28" s="37"/>
      <c r="S28" s="36"/>
      <c r="T28" s="19" t="str">
        <f t="shared" si="3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 t="shared" si="5"/>
        <v/>
      </c>
      <c r="P29" s="84"/>
      <c r="Q29" s="39" t="str">
        <f t="shared" si="2"/>
        <v/>
      </c>
      <c r="R29" s="37"/>
      <c r="S29" s="36"/>
      <c r="T29" s="19" t="str">
        <f t="shared" si="3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33" t="s">
        <v>46</v>
      </c>
      <c r="J76" s="234"/>
      <c r="K76" s="234"/>
      <c r="L76" s="234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128</v>
      </c>
      <c r="C79" s="82"/>
      <c r="D79" s="95">
        <v>106.9</v>
      </c>
      <c r="E79" s="19" t="s">
        <v>111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PP in PP sorted products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120" t="s">
        <v>129</v>
      </c>
      <c r="C80" s="82"/>
      <c r="D80" s="95">
        <v>79.3</v>
      </c>
      <c r="E80" s="19" t="s">
        <v>111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 t="shared" ref="O80:O91" si="6">IF(B80="","",B80)</f>
        <v>PP in other sorted products</v>
      </c>
      <c r="P80" s="62"/>
      <c r="Q80" s="19" t="str">
        <f t="shared" ref="Q80:Q91" si="7">IF(P80&lt;&gt;0,Q$12,"")</f>
        <v/>
      </c>
      <c r="R80" s="41"/>
      <c r="S80" s="63"/>
      <c r="T80" s="19" t="str">
        <f t="shared" ref="T80:T91" si="8">IF(S80&lt;&gt;0,T$12,"")</f>
        <v/>
      </c>
      <c r="U80" s="64"/>
    </row>
    <row r="81" spans="1:21" x14ac:dyDescent="0.25">
      <c r="A81" s="221" t="s">
        <v>105</v>
      </c>
      <c r="B81" s="120"/>
      <c r="C81" s="87"/>
      <c r="D81" s="95"/>
      <c r="E81" s="19"/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si="6"/>
        <v/>
      </c>
      <c r="P81" s="62"/>
      <c r="Q81" s="19" t="str">
        <f t="shared" si="7"/>
        <v/>
      </c>
      <c r="R81" s="41"/>
      <c r="S81" s="63"/>
      <c r="T81" s="19" t="str">
        <f t="shared" si="8"/>
        <v/>
      </c>
      <c r="U81" s="64"/>
    </row>
    <row r="82" spans="1:21" ht="15" customHeight="1" x14ac:dyDescent="0.25">
      <c r="A82" s="221" t="s">
        <v>105</v>
      </c>
      <c r="B82" s="120"/>
      <c r="C82" s="87"/>
      <c r="D82" s="226"/>
      <c r="E82" s="19"/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si="6"/>
        <v/>
      </c>
      <c r="P82" s="62"/>
      <c r="Q82" s="19" t="str">
        <f t="shared" si="7"/>
        <v/>
      </c>
      <c r="R82" s="41"/>
      <c r="S82" s="63"/>
      <c r="T82" s="19" t="str">
        <f t="shared" si="8"/>
        <v/>
      </c>
      <c r="U82" s="64"/>
    </row>
    <row r="83" spans="1:21" x14ac:dyDescent="0.25">
      <c r="A83" s="221" t="s">
        <v>106</v>
      </c>
      <c r="B83" s="85"/>
      <c r="C83" s="97"/>
      <c r="D83" s="98"/>
      <c r="E83" s="99"/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6"/>
        <v/>
      </c>
      <c r="P83" s="62"/>
      <c r="Q83" s="19" t="str">
        <f t="shared" si="7"/>
        <v/>
      </c>
      <c r="R83" s="41"/>
      <c r="S83" s="63"/>
      <c r="T83" s="19" t="str">
        <f t="shared" si="8"/>
        <v/>
      </c>
      <c r="U83" s="64"/>
    </row>
    <row r="84" spans="1:21" x14ac:dyDescent="0.25">
      <c r="A84" s="221" t="s">
        <v>106</v>
      </c>
      <c r="B84" s="85"/>
      <c r="C84" s="97"/>
      <c r="D84" s="98"/>
      <c r="E84" s="99"/>
      <c r="F84" s="19"/>
      <c r="G84" s="19"/>
      <c r="H84" s="96"/>
      <c r="I84" s="212"/>
      <c r="J84" s="213"/>
      <c r="K84" s="173"/>
      <c r="L84" s="222"/>
      <c r="M84" s="64"/>
      <c r="N84" s="206"/>
      <c r="O84" s="139" t="str">
        <f t="shared" si="6"/>
        <v/>
      </c>
      <c r="P84" s="62"/>
      <c r="Q84" s="19" t="str">
        <f t="shared" si="7"/>
        <v/>
      </c>
      <c r="R84" s="41"/>
      <c r="S84" s="63"/>
      <c r="T84" s="19" t="str">
        <f t="shared" si="8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6"/>
        <v/>
      </c>
      <c r="P85" s="62"/>
      <c r="Q85" s="19" t="str">
        <f t="shared" si="7"/>
        <v/>
      </c>
      <c r="R85" s="41"/>
      <c r="S85" s="63"/>
      <c r="T85" s="19" t="str">
        <f t="shared" si="8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6"/>
        <v/>
      </c>
      <c r="P86" s="62"/>
      <c r="Q86" s="19" t="str">
        <f t="shared" si="7"/>
        <v/>
      </c>
      <c r="R86" s="41"/>
      <c r="S86" s="63"/>
      <c r="T86" s="19" t="str">
        <f t="shared" si="8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6"/>
        <v/>
      </c>
      <c r="P87" s="62"/>
      <c r="Q87" s="19" t="str">
        <f t="shared" si="7"/>
        <v/>
      </c>
      <c r="R87" s="41"/>
      <c r="S87" s="63"/>
      <c r="T87" s="19" t="str">
        <f t="shared" si="8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6"/>
        <v/>
      </c>
      <c r="P88" s="62"/>
      <c r="Q88" s="19" t="str">
        <f t="shared" si="7"/>
        <v/>
      </c>
      <c r="R88" s="41"/>
      <c r="S88" s="63"/>
      <c r="T88" s="19" t="str">
        <f t="shared" si="8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6"/>
        <v/>
      </c>
      <c r="P89" s="62"/>
      <c r="Q89" s="19" t="str">
        <f t="shared" si="7"/>
        <v/>
      </c>
      <c r="R89" s="41"/>
      <c r="S89" s="63"/>
      <c r="T89" s="19" t="str">
        <f t="shared" si="8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6"/>
        <v/>
      </c>
      <c r="P90" s="62"/>
      <c r="Q90" s="19" t="str">
        <f t="shared" si="7"/>
        <v/>
      </c>
      <c r="R90" s="41"/>
      <c r="S90" s="63"/>
      <c r="T90" s="19" t="str">
        <f t="shared" si="8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6"/>
        <v/>
      </c>
      <c r="P91" s="62"/>
      <c r="Q91" s="19" t="str">
        <f t="shared" si="7"/>
        <v/>
      </c>
      <c r="R91" s="41"/>
      <c r="S91" s="63"/>
      <c r="T91" s="19" t="str">
        <f t="shared" si="8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B6:C6"/>
    <mergeCell ref="I12:M12"/>
    <mergeCell ref="I76:L76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23BFA-EFD5-4C2F-AB5E-901747523CBC}">
  <sheetPr codeName="Tabelle2"/>
  <dimension ref="A1:X129"/>
  <sheetViews>
    <sheetView tabSelected="1" topLeftCell="A58" zoomScaleNormal="100" workbookViewId="0">
      <selection activeCell="A83" sqref="A83"/>
    </sheetView>
  </sheetViews>
  <sheetFormatPr defaultColWidth="11.42578125" defaultRowHeight="15" outlineLevelRow="2" x14ac:dyDescent="0.25"/>
  <cols>
    <col min="1" max="1" width="57.42578125" style="1" customWidth="1"/>
    <col min="2" max="2" width="37.85546875" style="3" customWidth="1"/>
    <col min="3" max="3" width="38.85546875" style="1" bestFit="1" customWidth="1"/>
    <col min="4" max="4" width="12.140625" style="6" bestFit="1" customWidth="1"/>
    <col min="5" max="5" width="8.7109375" style="6" bestFit="1" customWidth="1"/>
    <col min="6" max="6" width="9.7109375" style="6" customWidth="1"/>
    <col min="7" max="7" width="8.7109375" style="6" customWidth="1"/>
    <col min="8" max="8" width="37.85546875" style="6" customWidth="1"/>
    <col min="9" max="9" width="29.42578125" style="6" bestFit="1" customWidth="1"/>
    <col min="10" max="10" width="5.5703125" style="6" bestFit="1" customWidth="1"/>
    <col min="11" max="11" width="10.140625" style="6" bestFit="1" customWidth="1"/>
    <col min="12" max="12" width="13.28515625" style="6" bestFit="1" customWidth="1"/>
    <col min="13" max="13" width="6.5703125" style="6" bestFit="1" customWidth="1"/>
    <col min="14" max="14" width="10" style="6" customWidth="1"/>
    <col min="15" max="15" width="31.28515625" style="6" bestFit="1" customWidth="1"/>
    <col min="16" max="16" width="16" style="6" bestFit="1" customWidth="1"/>
    <col min="17" max="17" width="7" style="6" bestFit="1" customWidth="1"/>
    <col min="18" max="18" width="11.7109375" style="6" bestFit="1" customWidth="1"/>
    <col min="19" max="19" width="17.42578125" style="6" customWidth="1"/>
    <col min="20" max="20" width="7" style="1" bestFit="1" customWidth="1"/>
    <col min="21" max="21" width="12.85546875" style="1" customWidth="1"/>
    <col min="22" max="16384" width="11.42578125" style="1"/>
  </cols>
  <sheetData>
    <row r="1" spans="1:24" ht="23.25" x14ac:dyDescent="0.35">
      <c r="A1" s="17"/>
      <c r="B1" s="5"/>
    </row>
    <row r="2" spans="1:24" s="8" customFormat="1" ht="23.25" x14ac:dyDescent="0.3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">
      <c r="A4" s="58" t="s">
        <v>19</v>
      </c>
      <c r="B4" s="59" t="s">
        <v>132</v>
      </c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9.5" thickBot="1" x14ac:dyDescent="0.35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9.5" thickBot="1" x14ac:dyDescent="0.3">
      <c r="A6" s="57" t="s">
        <v>31</v>
      </c>
      <c r="B6" s="228" t="s">
        <v>32</v>
      </c>
      <c r="C6" s="229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4">
      <c r="A7" s="57" t="s">
        <v>33</v>
      </c>
      <c r="B7" s="55" t="s">
        <v>34</v>
      </c>
      <c r="C7" s="187"/>
      <c r="D7" s="26"/>
      <c r="I7" s="26"/>
      <c r="N7" s="27"/>
      <c r="O7" s="56" t="s">
        <v>23</v>
      </c>
    </row>
    <row r="8" spans="1:24" s="8" customFormat="1" ht="15.75" x14ac:dyDescent="0.25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.75" x14ac:dyDescent="0.3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7"/>
      <c r="P9" s="78"/>
      <c r="Q9" s="78"/>
      <c r="R9" s="27"/>
    </row>
    <row r="10" spans="1:24" ht="19.5" thickBot="1" x14ac:dyDescent="0.35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4">
      <c r="A11" s="188" t="s">
        <v>42</v>
      </c>
      <c r="B11" s="216"/>
      <c r="C11" s="188" t="s">
        <v>43</v>
      </c>
      <c r="D11" s="216" t="s">
        <v>109</v>
      </c>
      <c r="M11" s="30"/>
      <c r="V11" s="6"/>
    </row>
    <row r="12" spans="1:24" ht="19.5" thickBot="1" x14ac:dyDescent="0.35">
      <c r="A12" s="106" t="s">
        <v>45</v>
      </c>
      <c r="B12" s="107"/>
      <c r="C12" s="107"/>
      <c r="D12" s="107"/>
      <c r="E12" s="107"/>
      <c r="F12" s="107"/>
      <c r="G12" s="107"/>
      <c r="H12" s="107"/>
      <c r="I12" s="230" t="s">
        <v>46</v>
      </c>
      <c r="J12" s="231"/>
      <c r="K12" s="231"/>
      <c r="L12" s="231"/>
      <c r="M12" s="232"/>
      <c r="O12" s="78" t="s">
        <v>37</v>
      </c>
      <c r="P12" s="78" t="str">
        <f>P10</f>
        <v>monetary_value</v>
      </c>
      <c r="Q12" s="78" t="str">
        <f t="shared" ref="Q12:T12" si="0">Q10</f>
        <v>EUR</v>
      </c>
      <c r="R12" s="78"/>
      <c r="S12" s="78" t="str">
        <f t="shared" si="0"/>
        <v>climate_change_total</v>
      </c>
      <c r="T12" s="78" t="str">
        <f t="shared" si="0"/>
        <v>kg CO2-eq</v>
      </c>
      <c r="U12" s="78"/>
      <c r="V12" s="78"/>
      <c r="W12" s="78"/>
      <c r="X12" s="78"/>
    </row>
    <row r="13" spans="1:24" ht="19.5" thickBot="1" x14ac:dyDescent="0.35">
      <c r="A13" s="121" t="s">
        <v>47</v>
      </c>
      <c r="B13" s="103" t="s">
        <v>48</v>
      </c>
      <c r="C13" s="104" t="s">
        <v>49</v>
      </c>
      <c r="D13" s="104" t="s">
        <v>50</v>
      </c>
      <c r="E13" s="104" t="s">
        <v>51</v>
      </c>
      <c r="F13" s="105" t="s">
        <v>52</v>
      </c>
      <c r="G13" s="105" t="s">
        <v>53</v>
      </c>
      <c r="H13" s="202" t="s">
        <v>54</v>
      </c>
      <c r="I13" s="200" t="s">
        <v>55</v>
      </c>
      <c r="J13" s="200" t="s">
        <v>51</v>
      </c>
      <c r="K13" s="203" t="s">
        <v>31</v>
      </c>
      <c r="L13" s="201" t="s">
        <v>49</v>
      </c>
      <c r="M13" s="205" t="s">
        <v>56</v>
      </c>
      <c r="N13" s="1"/>
      <c r="O13" s="133" t="s">
        <v>57</v>
      </c>
      <c r="P13" s="134" t="s">
        <v>58</v>
      </c>
      <c r="Q13" s="134" t="s">
        <v>59</v>
      </c>
      <c r="R13" s="134" t="s">
        <v>54</v>
      </c>
      <c r="S13" s="134" t="s">
        <v>58</v>
      </c>
      <c r="T13" s="134" t="s">
        <v>59</v>
      </c>
      <c r="U13" s="134" t="s">
        <v>54</v>
      </c>
      <c r="V13" s="134"/>
      <c r="W13" s="134"/>
      <c r="X13" s="134"/>
    </row>
    <row r="14" spans="1:24" ht="41.1" customHeight="1" x14ac:dyDescent="0.25">
      <c r="A14" s="128" t="s">
        <v>60</v>
      </c>
      <c r="B14" s="129" t="s">
        <v>61</v>
      </c>
      <c r="C14" s="123" t="s">
        <v>62</v>
      </c>
      <c r="D14" s="122" t="s">
        <v>63</v>
      </c>
      <c r="E14" s="149" t="s">
        <v>64</v>
      </c>
      <c r="F14" s="150" t="s">
        <v>65</v>
      </c>
      <c r="G14" s="150" t="s">
        <v>66</v>
      </c>
      <c r="H14" s="186" t="s">
        <v>67</v>
      </c>
      <c r="I14" s="198"/>
      <c r="J14" s="199"/>
      <c r="K14" s="204"/>
      <c r="L14" s="199"/>
      <c r="M14" s="196"/>
      <c r="N14" s="4"/>
      <c r="O14" s="157" t="s">
        <v>68</v>
      </c>
      <c r="P14" s="157" t="s">
        <v>69</v>
      </c>
      <c r="Q14" s="157" t="s">
        <v>64</v>
      </c>
      <c r="R14" s="157" t="s">
        <v>67</v>
      </c>
      <c r="S14" s="157" t="s">
        <v>70</v>
      </c>
      <c r="T14" s="157" t="s">
        <v>64</v>
      </c>
      <c r="U14" s="157" t="s">
        <v>67</v>
      </c>
      <c r="V14" s="157"/>
      <c r="W14" s="157"/>
      <c r="X14" s="157"/>
    </row>
    <row r="15" spans="1:24" ht="15" customHeight="1" x14ac:dyDescent="0.25">
      <c r="A15" s="219" t="s">
        <v>71</v>
      </c>
      <c r="B15" s="119" t="s">
        <v>110</v>
      </c>
      <c r="C15" s="13"/>
      <c r="D15" s="95">
        <v>106.9</v>
      </c>
      <c r="E15" s="19" t="s">
        <v>111</v>
      </c>
      <c r="F15" s="19"/>
      <c r="G15" s="19"/>
      <c r="H15" s="87"/>
      <c r="I15" s="171"/>
      <c r="J15" s="172"/>
      <c r="K15" s="218"/>
      <c r="L15" s="224"/>
      <c r="M15" s="185"/>
      <c r="N15" s="4"/>
      <c r="O15" s="152" t="str">
        <f>IF(B15="","",B15)</f>
        <v>PP in PP sorted Products</v>
      </c>
      <c r="P15" s="153"/>
      <c r="Q15" s="152" t="str">
        <f>IF(P15&lt;&gt;0,Q$12,"")</f>
        <v/>
      </c>
      <c r="R15" s="77"/>
      <c r="S15" s="154"/>
      <c r="T15" s="155" t="str">
        <f>IF(S15&lt;&gt;0,T$12,"")</f>
        <v/>
      </c>
      <c r="U15" s="156"/>
      <c r="V15" s="154"/>
      <c r="W15" s="155"/>
      <c r="X15" s="156"/>
    </row>
    <row r="16" spans="1:24" ht="15" customHeight="1" outlineLevel="1" x14ac:dyDescent="0.25">
      <c r="A16" s="219" t="s">
        <v>71</v>
      </c>
      <c r="B16" s="118"/>
      <c r="C16" s="13"/>
      <c r="D16" s="225"/>
      <c r="E16" s="19"/>
      <c r="F16" s="88"/>
      <c r="G16" s="88"/>
      <c r="H16" s="87"/>
      <c r="I16" s="172"/>
      <c r="J16" s="172"/>
      <c r="K16" s="218"/>
      <c r="L16" s="172"/>
      <c r="M16" s="197"/>
      <c r="N16" s="4"/>
      <c r="O16" s="39" t="str">
        <f t="shared" ref="O16:O18" si="1">IF(B16="","",B16)</f>
        <v/>
      </c>
      <c r="P16" s="84"/>
      <c r="Q16" s="39" t="str">
        <f t="shared" ref="Q16:Q29" si="2">IF(P16&lt;&gt;0,Q$12,"")</f>
        <v/>
      </c>
      <c r="R16" s="33"/>
      <c r="S16" s="32"/>
      <c r="T16" s="19" t="str">
        <f t="shared" ref="T16:T29" si="3">IF(S16&lt;&gt;0,T$12,"")</f>
        <v/>
      </c>
      <c r="U16" s="38"/>
      <c r="V16" s="32"/>
      <c r="W16" s="19"/>
      <c r="X16" s="38"/>
    </row>
    <row r="17" spans="1:24" ht="15" customHeight="1" outlineLevel="1" x14ac:dyDescent="0.25">
      <c r="A17" s="219" t="s">
        <v>71</v>
      </c>
      <c r="B17" s="118"/>
      <c r="C17" s="13"/>
      <c r="D17" s="19"/>
      <c r="E17" s="19"/>
      <c r="F17" s="88"/>
      <c r="G17" s="88"/>
      <c r="H17" s="89"/>
      <c r="I17" s="172"/>
      <c r="J17" s="172"/>
      <c r="K17" s="218"/>
      <c r="L17" s="172"/>
      <c r="M17" s="197"/>
      <c r="N17" s="4"/>
      <c r="O17" s="39" t="str">
        <f t="shared" si="1"/>
        <v/>
      </c>
      <c r="P17" s="84"/>
      <c r="Q17" s="39"/>
      <c r="R17" s="76"/>
      <c r="S17" s="74"/>
      <c r="T17" s="19" t="str">
        <f t="shared" si="3"/>
        <v/>
      </c>
      <c r="U17" s="38"/>
      <c r="V17" s="74"/>
      <c r="W17" s="19"/>
      <c r="X17" s="38"/>
    </row>
    <row r="18" spans="1:24" outlineLevel="1" x14ac:dyDescent="0.25">
      <c r="A18" s="219" t="s">
        <v>71</v>
      </c>
      <c r="B18" s="118"/>
      <c r="C18" s="13"/>
      <c r="D18" s="19"/>
      <c r="E18" s="19"/>
      <c r="F18" s="88"/>
      <c r="G18" s="88"/>
      <c r="H18" s="87"/>
      <c r="I18" s="172"/>
      <c r="J18" s="172"/>
      <c r="K18" s="173"/>
      <c r="L18" s="172"/>
      <c r="M18" s="197"/>
      <c r="N18" s="4"/>
      <c r="O18" s="39" t="str">
        <f t="shared" si="1"/>
        <v/>
      </c>
      <c r="P18" s="84"/>
      <c r="Q18" s="39" t="str">
        <f t="shared" si="2"/>
        <v/>
      </c>
      <c r="R18" s="76"/>
      <c r="S18" s="74"/>
      <c r="T18" s="19" t="str">
        <f t="shared" si="3"/>
        <v/>
      </c>
      <c r="U18" s="38"/>
      <c r="V18" s="74"/>
      <c r="W18" s="19"/>
      <c r="X18" s="38"/>
    </row>
    <row r="19" spans="1:24" x14ac:dyDescent="0.25">
      <c r="A19" s="219" t="s">
        <v>72</v>
      </c>
      <c r="B19" s="118"/>
      <c r="C19" s="13"/>
      <c r="D19" s="19"/>
      <c r="E19" s="19"/>
      <c r="F19" s="80"/>
      <c r="G19" s="80"/>
      <c r="H19" s="89"/>
      <c r="I19" s="172"/>
      <c r="J19" s="172"/>
      <c r="K19" s="173"/>
      <c r="L19" s="172"/>
      <c r="M19" s="197"/>
      <c r="N19" s="4"/>
      <c r="O19" s="39" t="str">
        <f>IF(B19="","",B19)</f>
        <v/>
      </c>
      <c r="P19" s="84"/>
      <c r="Q19" s="39" t="str">
        <f t="shared" si="2"/>
        <v/>
      </c>
      <c r="R19" s="76"/>
      <c r="S19" s="74"/>
      <c r="T19" s="19" t="str">
        <f t="shared" si="3"/>
        <v/>
      </c>
      <c r="U19" s="38"/>
      <c r="V19" s="74"/>
      <c r="W19" s="19"/>
      <c r="X19" s="38"/>
    </row>
    <row r="20" spans="1:24" x14ac:dyDescent="0.25">
      <c r="A20" s="219" t="s">
        <v>72</v>
      </c>
      <c r="B20" s="118"/>
      <c r="C20" s="13"/>
      <c r="D20" s="138"/>
      <c r="E20" s="19"/>
      <c r="F20" s="80"/>
      <c r="G20" s="80"/>
      <c r="H20" s="89"/>
      <c r="I20" s="173"/>
      <c r="J20" s="172"/>
      <c r="K20" s="173"/>
      <c r="L20" s="172"/>
      <c r="M20" s="197"/>
      <c r="N20" s="4"/>
      <c r="O20" s="39" t="str">
        <f t="shared" ref="O20:O26" si="4">IF(B20="","",B20)</f>
        <v/>
      </c>
      <c r="P20" s="84"/>
      <c r="Q20" s="39" t="str">
        <f t="shared" si="2"/>
        <v/>
      </c>
      <c r="R20" s="35"/>
      <c r="S20" s="34"/>
      <c r="T20" s="19" t="str">
        <f t="shared" si="3"/>
        <v/>
      </c>
      <c r="U20" s="38"/>
      <c r="V20" s="34"/>
      <c r="W20" s="19"/>
      <c r="X20" s="38"/>
    </row>
    <row r="21" spans="1:24" x14ac:dyDescent="0.25">
      <c r="A21" s="219" t="s">
        <v>72</v>
      </c>
      <c r="B21" s="118"/>
      <c r="C21" s="13"/>
      <c r="D21" s="130"/>
      <c r="E21" s="19"/>
      <c r="F21" s="80"/>
      <c r="G21" s="80"/>
      <c r="H21" s="89"/>
      <c r="I21" s="173"/>
      <c r="J21" s="172"/>
      <c r="K21" s="173"/>
      <c r="L21" s="172"/>
      <c r="M21" s="197"/>
      <c r="N21" s="4"/>
      <c r="O21" s="39" t="str">
        <f t="shared" si="4"/>
        <v/>
      </c>
      <c r="P21" s="84"/>
      <c r="Q21" s="39" t="str">
        <f t="shared" si="2"/>
        <v/>
      </c>
      <c r="R21" s="35"/>
      <c r="S21" s="34"/>
      <c r="T21" s="19" t="str">
        <f t="shared" si="3"/>
        <v/>
      </c>
      <c r="U21" s="38"/>
      <c r="V21" s="34"/>
      <c r="W21" s="19"/>
      <c r="X21" s="38"/>
    </row>
    <row r="22" spans="1:24" x14ac:dyDescent="0.25">
      <c r="A22" s="219" t="s">
        <v>73</v>
      </c>
      <c r="B22" s="118"/>
      <c r="C22" s="13"/>
      <c r="D22" s="138"/>
      <c r="E22" s="19"/>
      <c r="F22" s="80"/>
      <c r="G22" s="80"/>
      <c r="H22" s="89"/>
      <c r="I22" s="173"/>
      <c r="J22" s="172"/>
      <c r="K22" s="173"/>
      <c r="L22" s="172"/>
      <c r="M22" s="197"/>
      <c r="N22" s="4"/>
      <c r="O22" s="39" t="str">
        <f t="shared" si="4"/>
        <v/>
      </c>
      <c r="P22" s="84"/>
      <c r="Q22" s="39" t="str">
        <f t="shared" si="2"/>
        <v/>
      </c>
      <c r="R22" s="35"/>
      <c r="S22" s="34"/>
      <c r="T22" s="19" t="str">
        <f t="shared" si="3"/>
        <v/>
      </c>
      <c r="U22" s="38"/>
      <c r="V22" s="34"/>
      <c r="W22" s="19"/>
      <c r="X22" s="38"/>
    </row>
    <row r="23" spans="1:24" x14ac:dyDescent="0.25">
      <c r="A23" s="219" t="s">
        <v>73</v>
      </c>
      <c r="B23" s="118"/>
      <c r="C23" s="13"/>
      <c r="D23" s="130"/>
      <c r="E23" s="19"/>
      <c r="F23" s="80"/>
      <c r="G23" s="80"/>
      <c r="H23" s="89"/>
      <c r="I23" s="173"/>
      <c r="J23" s="172"/>
      <c r="K23" s="173"/>
      <c r="L23" s="172"/>
      <c r="M23" s="197"/>
      <c r="N23" s="4"/>
      <c r="O23" s="39" t="str">
        <f t="shared" si="4"/>
        <v/>
      </c>
      <c r="P23" s="84"/>
      <c r="Q23" s="39" t="str">
        <f t="shared" si="2"/>
        <v/>
      </c>
      <c r="R23" s="35"/>
      <c r="S23" s="34"/>
      <c r="T23" s="19" t="str">
        <f t="shared" si="3"/>
        <v/>
      </c>
      <c r="U23" s="38"/>
      <c r="V23" s="34"/>
      <c r="W23" s="19"/>
      <c r="X23" s="38"/>
    </row>
    <row r="24" spans="1:24" x14ac:dyDescent="0.25">
      <c r="A24" s="219" t="s">
        <v>73</v>
      </c>
      <c r="B24" s="85"/>
      <c r="C24" s="86"/>
      <c r="D24" s="90"/>
      <c r="E24" s="19"/>
      <c r="F24" s="80"/>
      <c r="G24" s="80"/>
      <c r="H24" s="91"/>
      <c r="I24" s="173"/>
      <c r="J24" s="172"/>
      <c r="K24" s="173"/>
      <c r="L24" s="172"/>
      <c r="M24" s="197"/>
      <c r="N24" s="4"/>
      <c r="O24" s="39" t="str">
        <f t="shared" si="4"/>
        <v/>
      </c>
      <c r="P24" s="84"/>
      <c r="Q24" s="39" t="str">
        <f t="shared" si="2"/>
        <v/>
      </c>
      <c r="R24" s="35"/>
      <c r="S24" s="34"/>
      <c r="T24" s="19" t="str">
        <f t="shared" si="3"/>
        <v/>
      </c>
      <c r="U24" s="38"/>
      <c r="V24" s="34"/>
      <c r="W24" s="19"/>
      <c r="X24" s="38"/>
    </row>
    <row r="25" spans="1:24" x14ac:dyDescent="0.25">
      <c r="A25" s="219" t="s">
        <v>73</v>
      </c>
      <c r="B25" s="146"/>
      <c r="C25" s="13"/>
      <c r="D25" s="138"/>
      <c r="E25" s="19"/>
      <c r="F25" s="80"/>
      <c r="G25" s="80"/>
      <c r="H25" s="89"/>
      <c r="I25" s="173"/>
      <c r="J25" s="172"/>
      <c r="K25" s="173"/>
      <c r="L25" s="172"/>
      <c r="M25" s="197"/>
      <c r="N25" s="4"/>
      <c r="O25" s="39" t="str">
        <f t="shared" si="4"/>
        <v/>
      </c>
      <c r="P25" s="84"/>
      <c r="Q25" s="39" t="str">
        <f t="shared" si="2"/>
        <v/>
      </c>
      <c r="R25" s="35"/>
      <c r="S25" s="34"/>
      <c r="T25" s="19" t="str">
        <f t="shared" si="3"/>
        <v/>
      </c>
      <c r="U25" s="38"/>
      <c r="V25" s="34"/>
      <c r="W25" s="19"/>
      <c r="X25" s="38"/>
    </row>
    <row r="26" spans="1:24" x14ac:dyDescent="0.25">
      <c r="A26" s="219" t="s">
        <v>74</v>
      </c>
      <c r="B26" s="148"/>
      <c r="C26" s="86"/>
      <c r="D26" s="90"/>
      <c r="E26" s="19"/>
      <c r="F26" s="80"/>
      <c r="G26" s="80"/>
      <c r="H26" s="91"/>
      <c r="I26" s="173"/>
      <c r="J26" s="172"/>
      <c r="K26" s="173"/>
      <c r="L26" s="172"/>
      <c r="M26" s="197"/>
      <c r="N26" s="4"/>
      <c r="O26" s="39" t="str">
        <f t="shared" si="4"/>
        <v/>
      </c>
      <c r="P26" s="84"/>
      <c r="Q26" s="39" t="str">
        <f t="shared" si="2"/>
        <v/>
      </c>
      <c r="R26" s="37"/>
      <c r="S26" s="36"/>
      <c r="T26" s="19" t="str">
        <f t="shared" si="3"/>
        <v/>
      </c>
      <c r="U26" s="38"/>
      <c r="V26" s="36"/>
      <c r="W26" s="19"/>
      <c r="X26" s="37"/>
    </row>
    <row r="27" spans="1:24" x14ac:dyDescent="0.25">
      <c r="A27" s="219" t="s">
        <v>74</v>
      </c>
      <c r="B27" s="146"/>
      <c r="C27" s="86"/>
      <c r="D27" s="90"/>
      <c r="E27" s="19"/>
      <c r="F27" s="80"/>
      <c r="G27" s="80"/>
      <c r="H27" s="91"/>
      <c r="I27" s="173"/>
      <c r="J27" s="172"/>
      <c r="K27" s="173"/>
      <c r="L27" s="172"/>
      <c r="M27" s="197"/>
      <c r="N27" s="4"/>
      <c r="O27" s="39" t="str">
        <f>IF(B27="","",B27)</f>
        <v/>
      </c>
      <c r="P27" s="84"/>
      <c r="Q27" s="39" t="str">
        <f t="shared" si="2"/>
        <v/>
      </c>
      <c r="R27" s="37"/>
      <c r="S27" s="36"/>
      <c r="T27" s="19" t="str">
        <f t="shared" si="3"/>
        <v/>
      </c>
      <c r="U27" s="38"/>
      <c r="V27" s="36"/>
      <c r="W27" s="19"/>
      <c r="X27" s="37"/>
    </row>
    <row r="28" spans="1:24" x14ac:dyDescent="0.25">
      <c r="A28" s="219" t="s">
        <v>74</v>
      </c>
      <c r="B28" s="146"/>
      <c r="C28" s="86"/>
      <c r="D28" s="90"/>
      <c r="E28" s="19"/>
      <c r="F28" s="80"/>
      <c r="G28" s="80"/>
      <c r="H28" s="91"/>
      <c r="I28" s="173"/>
      <c r="J28" s="172"/>
      <c r="K28" s="173"/>
      <c r="L28" s="172"/>
      <c r="M28" s="197"/>
      <c r="N28" s="4"/>
      <c r="O28" s="39" t="str">
        <f t="shared" ref="O28:O29" si="5">IF(B28="","",B28)</f>
        <v/>
      </c>
      <c r="P28" s="84"/>
      <c r="Q28" s="39" t="str">
        <f t="shared" si="2"/>
        <v/>
      </c>
      <c r="R28" s="37"/>
      <c r="S28" s="36"/>
      <c r="T28" s="19" t="str">
        <f t="shared" si="3"/>
        <v/>
      </c>
      <c r="U28" s="38"/>
      <c r="V28" s="36"/>
      <c r="W28" s="19"/>
      <c r="X28" s="37"/>
    </row>
    <row r="29" spans="1:24" x14ac:dyDescent="0.25">
      <c r="A29" s="219" t="s">
        <v>74</v>
      </c>
      <c r="B29" s="85"/>
      <c r="C29" s="86"/>
      <c r="D29" s="90"/>
      <c r="E29" s="19"/>
      <c r="F29" s="80"/>
      <c r="G29" s="80"/>
      <c r="H29" s="91"/>
      <c r="I29" s="173"/>
      <c r="J29" s="172"/>
      <c r="K29" s="173"/>
      <c r="L29" s="172"/>
      <c r="M29" s="197"/>
      <c r="N29" s="4"/>
      <c r="O29" s="39" t="str">
        <f t="shared" si="5"/>
        <v/>
      </c>
      <c r="P29" s="84"/>
      <c r="Q29" s="39" t="str">
        <f t="shared" si="2"/>
        <v/>
      </c>
      <c r="R29" s="37"/>
      <c r="S29" s="36"/>
      <c r="T29" s="19" t="str">
        <f t="shared" si="3"/>
        <v/>
      </c>
      <c r="U29" s="38"/>
      <c r="V29" s="36"/>
      <c r="W29" s="19"/>
      <c r="X29" s="37"/>
    </row>
    <row r="30" spans="1:24" ht="15.75" x14ac:dyDescent="0.25">
      <c r="B30" s="20"/>
      <c r="D30" s="21"/>
      <c r="E30" s="21"/>
      <c r="F30" s="21"/>
      <c r="G30" s="21"/>
      <c r="H30" s="22"/>
      <c r="I30" s="174"/>
      <c r="J30" s="174"/>
      <c r="K30" s="174"/>
      <c r="L30" s="174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25">
      <c r="B31" s="20"/>
      <c r="D31" s="21"/>
      <c r="E31" s="21"/>
      <c r="F31" s="21"/>
      <c r="G31" s="21"/>
      <c r="H31" s="22"/>
      <c r="I31" s="174"/>
      <c r="J31" s="174"/>
      <c r="K31" s="174"/>
      <c r="L31" s="174"/>
      <c r="M31" s="1"/>
      <c r="N31" s="4"/>
      <c r="O31" s="1"/>
      <c r="P31" s="1"/>
      <c r="Q31" s="1"/>
      <c r="R31" s="1"/>
      <c r="S31" s="1"/>
    </row>
    <row r="32" spans="1:24" ht="15.75" thickBot="1" x14ac:dyDescent="0.3">
      <c r="B32" s="20"/>
      <c r="D32" s="21"/>
      <c r="E32" s="21"/>
      <c r="F32" s="21"/>
      <c r="G32" s="21"/>
      <c r="H32" s="22"/>
      <c r="I32" s="174"/>
      <c r="J32" s="174"/>
      <c r="K32" s="174"/>
      <c r="L32" s="174"/>
      <c r="M32" s="1"/>
      <c r="N32" s="4"/>
      <c r="O32" s="1"/>
      <c r="P32" s="1"/>
      <c r="Q32" s="1"/>
      <c r="R32" s="1"/>
      <c r="S32" s="1"/>
    </row>
    <row r="33" spans="1:21" ht="19.5" thickBot="1" x14ac:dyDescent="0.35">
      <c r="A33" s="112" t="s">
        <v>75</v>
      </c>
      <c r="B33" s="113"/>
      <c r="C33" s="113"/>
      <c r="D33" s="113"/>
      <c r="E33" s="113"/>
      <c r="F33" s="113"/>
      <c r="G33" s="113"/>
      <c r="H33" s="114"/>
      <c r="I33" s="175"/>
      <c r="J33" s="175"/>
      <c r="K33" s="175"/>
      <c r="L33" s="175"/>
      <c r="M33" s="1"/>
      <c r="N33" s="4"/>
      <c r="O33" s="1"/>
      <c r="P33" s="1"/>
      <c r="Q33" s="1"/>
      <c r="R33" s="1"/>
      <c r="S33" s="1"/>
    </row>
    <row r="34" spans="1:21" ht="19.5" thickBot="1" x14ac:dyDescent="0.35">
      <c r="A34" s="108" t="s">
        <v>76</v>
      </c>
      <c r="B34" s="109" t="s">
        <v>48</v>
      </c>
      <c r="C34" s="109" t="s">
        <v>49</v>
      </c>
      <c r="D34" s="109" t="s">
        <v>50</v>
      </c>
      <c r="E34" s="109" t="s">
        <v>51</v>
      </c>
      <c r="F34" s="110" t="s">
        <v>77</v>
      </c>
      <c r="G34" s="189"/>
      <c r="H34" s="111" t="s">
        <v>54</v>
      </c>
      <c r="I34" s="175"/>
      <c r="J34" s="175"/>
      <c r="K34" s="175"/>
      <c r="L34" s="175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25">
      <c r="A35" s="151" t="s">
        <v>60</v>
      </c>
      <c r="B35" s="131" t="s">
        <v>61</v>
      </c>
      <c r="C35" s="131" t="s">
        <v>78</v>
      </c>
      <c r="D35" s="131" t="s">
        <v>63</v>
      </c>
      <c r="E35" s="131" t="s">
        <v>64</v>
      </c>
      <c r="F35" s="131" t="s">
        <v>79</v>
      </c>
      <c r="G35" s="131"/>
      <c r="H35" s="169" t="s">
        <v>67</v>
      </c>
      <c r="I35" s="175"/>
      <c r="J35" s="175"/>
      <c r="K35" s="175"/>
      <c r="L35" s="175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25">
      <c r="A36" s="220" t="s">
        <v>80</v>
      </c>
      <c r="B36" s="144" t="s">
        <v>81</v>
      </c>
      <c r="C36" s="83"/>
      <c r="D36" s="92"/>
      <c r="E36" s="147" t="s">
        <v>82</v>
      </c>
      <c r="F36" s="18"/>
      <c r="G36" s="18"/>
      <c r="H36" s="170"/>
      <c r="I36" s="176"/>
      <c r="J36" s="174"/>
      <c r="K36" s="177"/>
      <c r="L36" s="175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25">
      <c r="A37" s="220" t="s">
        <v>80</v>
      </c>
      <c r="B37" s="15" t="s">
        <v>83</v>
      </c>
      <c r="C37" s="15"/>
      <c r="D37" s="15"/>
      <c r="E37" s="147"/>
      <c r="F37" s="18"/>
      <c r="G37" s="18"/>
      <c r="H37" s="170"/>
      <c r="I37" s="178"/>
      <c r="J37" s="174"/>
      <c r="K37" s="177"/>
      <c r="L37" s="175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25">
      <c r="A38" s="220" t="s">
        <v>80</v>
      </c>
      <c r="B38" s="14" t="s">
        <v>84</v>
      </c>
      <c r="C38" s="15"/>
      <c r="D38" s="94"/>
      <c r="E38" s="147" t="s">
        <v>85</v>
      </c>
      <c r="F38" s="18"/>
      <c r="G38" s="18"/>
      <c r="H38" s="170"/>
      <c r="I38" s="179"/>
      <c r="J38" s="174"/>
      <c r="K38" s="177"/>
      <c r="L38" s="175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25">
      <c r="A39" s="220" t="s">
        <v>80</v>
      </c>
      <c r="B39" s="15" t="s">
        <v>86</v>
      </c>
      <c r="C39" s="14"/>
      <c r="D39" s="15"/>
      <c r="E39" s="147" t="s">
        <v>85</v>
      </c>
      <c r="F39" s="81"/>
      <c r="G39" s="81"/>
      <c r="H39" s="170"/>
      <c r="I39" s="178"/>
      <c r="J39" s="174"/>
      <c r="K39" s="178"/>
      <c r="L39" s="175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25">
      <c r="A40" s="220" t="s">
        <v>80</v>
      </c>
      <c r="B40" s="15" t="s">
        <v>87</v>
      </c>
      <c r="C40" s="14"/>
      <c r="D40" s="15"/>
      <c r="E40" s="147" t="s">
        <v>85</v>
      </c>
      <c r="F40" s="81"/>
      <c r="G40" s="81"/>
      <c r="H40" s="170"/>
      <c r="I40" s="175"/>
      <c r="J40" s="174"/>
      <c r="K40" s="178"/>
      <c r="L40" s="175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25">
      <c r="A41" s="220" t="s">
        <v>80</v>
      </c>
      <c r="B41" s="15" t="s">
        <v>88</v>
      </c>
      <c r="C41" s="14"/>
      <c r="D41" s="15"/>
      <c r="E41" s="147" t="s">
        <v>85</v>
      </c>
      <c r="F41" s="81"/>
      <c r="G41" s="81"/>
      <c r="H41" s="170"/>
      <c r="I41" s="175"/>
      <c r="J41" s="174"/>
      <c r="K41" s="178"/>
      <c r="L41" s="175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25">
      <c r="A42" s="220" t="s">
        <v>80</v>
      </c>
      <c r="B42" s="15" t="s">
        <v>89</v>
      </c>
      <c r="C42" s="14"/>
      <c r="D42" s="15"/>
      <c r="E42" s="147" t="s">
        <v>85</v>
      </c>
      <c r="F42" s="81"/>
      <c r="G42" s="81"/>
      <c r="H42" s="170"/>
      <c r="I42" s="175"/>
      <c r="J42" s="174"/>
      <c r="K42" s="178"/>
      <c r="L42" s="175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25">
      <c r="A43" s="220" t="s">
        <v>80</v>
      </c>
      <c r="B43" s="15" t="s">
        <v>90</v>
      </c>
      <c r="C43" s="15"/>
      <c r="D43" s="94"/>
      <c r="E43" s="147" t="s">
        <v>85</v>
      </c>
      <c r="F43" s="145"/>
      <c r="G43" s="145"/>
      <c r="H43" s="170"/>
      <c r="I43" s="175"/>
      <c r="J43" s="174"/>
      <c r="K43" s="177"/>
      <c r="L43" s="175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25">
      <c r="A44" s="220" t="s">
        <v>80</v>
      </c>
      <c r="B44" s="15" t="s">
        <v>91</v>
      </c>
      <c r="C44" s="15"/>
      <c r="D44" s="94"/>
      <c r="E44" s="147" t="s">
        <v>92</v>
      </c>
      <c r="F44" s="145"/>
      <c r="G44" s="145"/>
      <c r="H44" s="170"/>
      <c r="I44" s="175"/>
      <c r="J44" s="174"/>
      <c r="K44" s="177"/>
      <c r="L44" s="175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25">
      <c r="A45" s="220" t="s">
        <v>80</v>
      </c>
      <c r="B45" s="15" t="s">
        <v>93</v>
      </c>
      <c r="C45" s="15"/>
      <c r="D45" s="94"/>
      <c r="E45" s="147" t="s">
        <v>92</v>
      </c>
      <c r="F45" s="145"/>
      <c r="G45" s="145"/>
      <c r="H45" s="170"/>
      <c r="I45" s="175"/>
      <c r="J45" s="174"/>
      <c r="K45" s="177"/>
      <c r="L45" s="175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25">
      <c r="A46" s="220" t="s">
        <v>80</v>
      </c>
      <c r="B46" s="15" t="s">
        <v>94</v>
      </c>
      <c r="C46" s="15"/>
      <c r="D46" s="94"/>
      <c r="E46" s="147" t="s">
        <v>92</v>
      </c>
      <c r="F46" s="145"/>
      <c r="G46" s="145"/>
      <c r="H46" s="170"/>
      <c r="I46" s="175"/>
      <c r="J46" s="174"/>
      <c r="K46" s="177"/>
      <c r="L46" s="175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25">
      <c r="A47" s="220" t="s">
        <v>80</v>
      </c>
      <c r="B47" s="15" t="s">
        <v>95</v>
      </c>
      <c r="C47" s="15"/>
      <c r="D47" s="94"/>
      <c r="E47" s="147" t="s">
        <v>96</v>
      </c>
      <c r="F47" s="145"/>
      <c r="G47" s="145"/>
      <c r="H47" s="170"/>
      <c r="I47" s="175"/>
      <c r="J47" s="174"/>
      <c r="K47" s="177"/>
      <c r="L47" s="175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25">
      <c r="A48" s="220" t="s">
        <v>80</v>
      </c>
      <c r="B48" s="15"/>
      <c r="C48" s="15"/>
      <c r="D48" s="94"/>
      <c r="E48" s="147"/>
      <c r="F48" s="145"/>
      <c r="G48" s="145"/>
      <c r="H48" s="170"/>
      <c r="I48" s="175"/>
      <c r="J48" s="174"/>
      <c r="K48" s="177"/>
      <c r="L48" s="175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25">
      <c r="A49" s="220" t="s">
        <v>80</v>
      </c>
      <c r="B49" s="144"/>
      <c r="C49" s="83"/>
      <c r="D49" s="92"/>
      <c r="E49" s="75"/>
      <c r="F49" s="18"/>
      <c r="G49" s="18"/>
      <c r="H49" s="170"/>
      <c r="I49" s="175"/>
      <c r="J49" s="174"/>
      <c r="K49" s="177"/>
      <c r="L49" s="175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25">
      <c r="A50" s="220" t="s">
        <v>80</v>
      </c>
      <c r="B50" s="144"/>
      <c r="C50" s="83"/>
      <c r="D50" s="92"/>
      <c r="E50" s="75"/>
      <c r="F50" s="18"/>
      <c r="G50" s="18"/>
      <c r="H50" s="170"/>
      <c r="I50" s="175"/>
      <c r="J50" s="174"/>
      <c r="K50" s="175"/>
      <c r="L50" s="175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65" customHeight="1" collapsed="1" x14ac:dyDescent="0.25">
      <c r="A51" s="220" t="s">
        <v>76</v>
      </c>
      <c r="B51" s="15"/>
      <c r="C51" s="15"/>
      <c r="D51" s="136"/>
      <c r="E51" s="75"/>
      <c r="F51" s="18"/>
      <c r="G51" s="18"/>
      <c r="H51" s="170"/>
      <c r="I51" s="175"/>
      <c r="J51" s="174"/>
      <c r="K51" s="177"/>
      <c r="L51" s="175"/>
      <c r="M51" s="48"/>
      <c r="N51" s="1"/>
      <c r="O51" s="42"/>
      <c r="P51" s="5"/>
      <c r="Q51" s="5"/>
      <c r="R51" s="5"/>
      <c r="S51" s="5"/>
      <c r="T51" s="5"/>
      <c r="U51" s="5"/>
    </row>
    <row r="52" spans="1:21" x14ac:dyDescent="0.25">
      <c r="A52" s="220" t="s">
        <v>76</v>
      </c>
      <c r="B52" s="15"/>
      <c r="C52" s="15"/>
      <c r="D52" s="94"/>
      <c r="E52" s="75"/>
      <c r="F52" s="145"/>
      <c r="G52" s="145"/>
      <c r="H52" s="170"/>
      <c r="I52" s="175"/>
      <c r="J52" s="174"/>
      <c r="K52" s="177"/>
      <c r="L52" s="175"/>
      <c r="M52" s="48"/>
      <c r="N52" s="1"/>
      <c r="O52" s="42"/>
      <c r="P52" s="5"/>
      <c r="Q52" s="5"/>
      <c r="R52" s="5"/>
      <c r="S52" s="5"/>
      <c r="T52" s="5"/>
      <c r="U52" s="5"/>
    </row>
    <row r="53" spans="1:21" x14ac:dyDescent="0.25">
      <c r="A53" s="220" t="s">
        <v>76</v>
      </c>
      <c r="B53" s="15"/>
      <c r="C53" s="15"/>
      <c r="D53" s="94"/>
      <c r="E53" s="75"/>
      <c r="F53" s="145"/>
      <c r="G53" s="145"/>
      <c r="H53" s="170"/>
      <c r="I53" s="175"/>
      <c r="J53" s="174"/>
      <c r="K53" s="177"/>
      <c r="L53" s="175"/>
      <c r="M53" s="48"/>
      <c r="N53" s="1"/>
      <c r="O53" s="42"/>
      <c r="P53" s="5"/>
      <c r="Q53" s="5"/>
      <c r="R53" s="5"/>
      <c r="S53" s="5"/>
      <c r="T53" s="5"/>
      <c r="U53" s="5"/>
    </row>
    <row r="54" spans="1:21" x14ac:dyDescent="0.25">
      <c r="A54" s="220" t="s">
        <v>76</v>
      </c>
      <c r="B54" s="144"/>
      <c r="C54" s="83"/>
      <c r="D54" s="92"/>
      <c r="E54" s="75"/>
      <c r="F54" s="18"/>
      <c r="G54" s="18"/>
      <c r="H54" s="170"/>
      <c r="I54" s="176"/>
      <c r="J54" s="174"/>
      <c r="K54" s="177"/>
      <c r="L54" s="175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25">
      <c r="A55" s="220" t="s">
        <v>97</v>
      </c>
      <c r="B55" s="93"/>
      <c r="C55" s="15"/>
      <c r="D55" s="135"/>
      <c r="E55" s="75"/>
      <c r="F55" s="18"/>
      <c r="G55" s="18"/>
      <c r="H55" s="170"/>
      <c r="I55" s="180"/>
      <c r="J55" s="174"/>
      <c r="K55" s="177"/>
      <c r="L55" s="175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25">
      <c r="A56" s="220" t="s">
        <v>97</v>
      </c>
      <c r="B56" s="144" t="s">
        <v>98</v>
      </c>
      <c r="C56" s="83"/>
      <c r="D56" s="92"/>
      <c r="E56" s="147" t="s">
        <v>99</v>
      </c>
      <c r="F56" s="18"/>
      <c r="G56" s="18"/>
      <c r="H56" s="170"/>
      <c r="I56" s="176"/>
      <c r="J56" s="174"/>
      <c r="K56" s="177"/>
      <c r="L56" s="175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25">
      <c r="A57" s="220" t="s">
        <v>97</v>
      </c>
      <c r="B57" s="144" t="s">
        <v>100</v>
      </c>
      <c r="C57" s="15"/>
      <c r="D57" s="15"/>
      <c r="E57" s="147" t="s">
        <v>101</v>
      </c>
      <c r="F57" s="18"/>
      <c r="G57" s="18"/>
      <c r="H57" s="170"/>
      <c r="I57" s="178"/>
      <c r="J57" s="174"/>
      <c r="K57" s="177"/>
      <c r="L57" s="175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25">
      <c r="A58" s="220" t="s">
        <v>97</v>
      </c>
      <c r="B58" s="93"/>
      <c r="C58" s="15"/>
      <c r="D58" s="135"/>
      <c r="E58" s="75"/>
      <c r="F58" s="18"/>
      <c r="G58" s="18"/>
      <c r="H58" s="170"/>
      <c r="I58" s="180"/>
      <c r="J58" s="174"/>
      <c r="K58" s="177"/>
      <c r="L58" s="175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25">
      <c r="A59" s="220" t="s">
        <v>97</v>
      </c>
      <c r="B59" s="15"/>
      <c r="C59" s="15"/>
      <c r="D59" s="136"/>
      <c r="E59" s="75"/>
      <c r="F59" s="18"/>
      <c r="G59" s="18"/>
      <c r="H59" s="170"/>
      <c r="I59" s="181"/>
      <c r="J59" s="174"/>
      <c r="K59" s="177"/>
      <c r="L59" s="175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5" customHeight="1" outlineLevel="2" x14ac:dyDescent="0.25">
      <c r="A60" s="220" t="s">
        <v>97</v>
      </c>
      <c r="B60" s="15"/>
      <c r="C60" s="15"/>
      <c r="D60" s="15"/>
      <c r="E60" s="75"/>
      <c r="F60" s="18"/>
      <c r="G60" s="18"/>
      <c r="H60" s="170"/>
      <c r="I60" s="178"/>
      <c r="J60" s="174"/>
      <c r="K60" s="177"/>
      <c r="L60" s="175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5" customHeight="1" outlineLevel="2" x14ac:dyDescent="0.25">
      <c r="A61" s="220" t="s">
        <v>97</v>
      </c>
      <c r="B61" s="15"/>
      <c r="C61" s="15"/>
      <c r="D61" s="93"/>
      <c r="E61" s="75"/>
      <c r="F61" s="18"/>
      <c r="G61" s="18"/>
      <c r="H61" s="170"/>
      <c r="I61" s="182"/>
      <c r="J61" s="174"/>
      <c r="K61" s="177"/>
      <c r="L61" s="175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5" customHeight="1" outlineLevel="2" x14ac:dyDescent="0.25">
      <c r="A62" s="220" t="s">
        <v>97</v>
      </c>
      <c r="B62" s="15"/>
      <c r="C62" s="83"/>
      <c r="D62" s="92"/>
      <c r="E62" s="75"/>
      <c r="F62" s="18"/>
      <c r="G62" s="18"/>
      <c r="H62" s="170"/>
      <c r="I62" s="176"/>
      <c r="J62" s="174"/>
      <c r="K62" s="177"/>
      <c r="L62" s="175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5" customHeight="1" outlineLevel="2" x14ac:dyDescent="0.25">
      <c r="A63" s="220" t="s">
        <v>97</v>
      </c>
      <c r="B63" s="15"/>
      <c r="C63" s="15"/>
      <c r="D63" s="15"/>
      <c r="E63" s="75"/>
      <c r="F63" s="18"/>
      <c r="G63" s="18"/>
      <c r="H63" s="170"/>
      <c r="I63" s="178"/>
      <c r="J63" s="174"/>
      <c r="K63" s="177"/>
      <c r="L63" s="175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5" customHeight="1" outlineLevel="2" x14ac:dyDescent="0.25">
      <c r="A64" s="220" t="s">
        <v>97</v>
      </c>
      <c r="B64" s="93"/>
      <c r="C64" s="15"/>
      <c r="D64" s="135"/>
      <c r="E64" s="75"/>
      <c r="F64" s="18"/>
      <c r="G64" s="18"/>
      <c r="H64" s="170"/>
      <c r="I64" s="180"/>
      <c r="J64" s="174"/>
      <c r="K64" s="177"/>
      <c r="L64" s="175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5" customHeight="1" outlineLevel="2" x14ac:dyDescent="0.25">
      <c r="A65" s="220" t="s">
        <v>97</v>
      </c>
      <c r="B65" s="15"/>
      <c r="C65" s="15"/>
      <c r="D65" s="136"/>
      <c r="E65" s="75"/>
      <c r="F65" s="18"/>
      <c r="G65" s="18"/>
      <c r="H65" s="170"/>
      <c r="I65" s="181"/>
      <c r="J65" s="174"/>
      <c r="K65" s="177"/>
      <c r="L65" s="175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5" customHeight="1" outlineLevel="2" x14ac:dyDescent="0.25">
      <c r="A66" s="220" t="s">
        <v>97</v>
      </c>
      <c r="B66" s="15"/>
      <c r="C66" s="15"/>
      <c r="D66" s="15"/>
      <c r="E66" s="75"/>
      <c r="F66" s="18"/>
      <c r="G66" s="18"/>
      <c r="H66" s="170"/>
      <c r="I66" s="178"/>
      <c r="J66" s="174"/>
      <c r="K66" s="177"/>
      <c r="L66" s="175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5" customHeight="1" outlineLevel="2" x14ac:dyDescent="0.25">
      <c r="A67" s="220" t="s">
        <v>97</v>
      </c>
      <c r="B67" s="15"/>
      <c r="C67" s="15"/>
      <c r="D67" s="93"/>
      <c r="E67" s="75"/>
      <c r="F67" s="18"/>
      <c r="G67" s="18"/>
      <c r="H67" s="170"/>
      <c r="I67" s="182"/>
      <c r="J67" s="174"/>
      <c r="K67" s="177"/>
      <c r="L67" s="175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5" customHeight="1" outlineLevel="2" x14ac:dyDescent="0.25">
      <c r="A68" s="220" t="s">
        <v>97</v>
      </c>
      <c r="B68" s="15"/>
      <c r="C68" s="83"/>
      <c r="D68" s="92"/>
      <c r="E68" s="75"/>
      <c r="F68" s="18"/>
      <c r="G68" s="18"/>
      <c r="H68" s="170"/>
      <c r="I68" s="176"/>
      <c r="J68" s="174"/>
      <c r="K68" s="177"/>
      <c r="L68" s="175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5" customHeight="1" outlineLevel="2" x14ac:dyDescent="0.25">
      <c r="A69" s="220" t="s">
        <v>97</v>
      </c>
      <c r="B69" s="15"/>
      <c r="C69" s="15"/>
      <c r="D69" s="15"/>
      <c r="E69" s="75"/>
      <c r="F69" s="18"/>
      <c r="G69" s="18"/>
      <c r="H69" s="170"/>
      <c r="I69" s="178"/>
      <c r="J69" s="174"/>
      <c r="K69" s="177"/>
      <c r="L69" s="175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5" customHeight="1" outlineLevel="2" x14ac:dyDescent="0.25">
      <c r="A70" s="220" t="s">
        <v>97</v>
      </c>
      <c r="B70" s="93"/>
      <c r="C70" s="15"/>
      <c r="D70" s="135"/>
      <c r="E70" s="75"/>
      <c r="F70" s="18"/>
      <c r="G70" s="18"/>
      <c r="H70" s="170"/>
      <c r="I70" s="180"/>
      <c r="J70" s="174"/>
      <c r="K70" s="177"/>
      <c r="L70" s="175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25">
      <c r="A71" s="220" t="s">
        <v>97</v>
      </c>
      <c r="B71" s="15"/>
      <c r="C71" s="15"/>
      <c r="D71" s="94"/>
      <c r="E71" s="75"/>
      <c r="F71" s="145"/>
      <c r="G71" s="145"/>
      <c r="H71" s="170"/>
      <c r="I71" s="179"/>
      <c r="J71" s="174"/>
      <c r="K71" s="177"/>
      <c r="L71" s="175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25">
      <c r="I72" s="177"/>
      <c r="J72" s="177"/>
      <c r="K72" s="177"/>
      <c r="L72" s="177"/>
      <c r="M72" s="1"/>
    </row>
    <row r="73" spans="1:21" x14ac:dyDescent="0.25">
      <c r="B73" s="1"/>
      <c r="D73" s="1"/>
      <c r="E73" s="1"/>
      <c r="F73" s="1"/>
      <c r="G73" s="1"/>
      <c r="H73" s="1"/>
      <c r="I73" s="178"/>
      <c r="J73" s="178"/>
      <c r="K73" s="178"/>
      <c r="L73" s="178"/>
      <c r="M73" s="30"/>
      <c r="O73" s="29"/>
      <c r="P73" s="1"/>
      <c r="Q73" s="1"/>
      <c r="R73" s="29"/>
      <c r="S73" s="1"/>
    </row>
    <row r="74" spans="1:21" x14ac:dyDescent="0.25">
      <c r="B74" s="1"/>
      <c r="D74" s="1"/>
      <c r="E74" s="1"/>
      <c r="F74" s="1"/>
      <c r="G74" s="1"/>
      <c r="H74" s="1"/>
      <c r="I74" s="178"/>
      <c r="J74" s="178"/>
      <c r="K74" s="178"/>
      <c r="L74" s="178"/>
      <c r="M74" s="30"/>
      <c r="O74" s="29"/>
      <c r="P74" s="1"/>
      <c r="Q74" s="1"/>
      <c r="R74" s="29"/>
      <c r="S74" s="1"/>
    </row>
    <row r="75" spans="1:21" ht="15.75" thickBot="1" x14ac:dyDescent="0.3">
      <c r="B75" s="1"/>
      <c r="D75" s="1"/>
      <c r="E75" s="1"/>
      <c r="F75" s="1"/>
      <c r="G75" s="1"/>
      <c r="H75" s="1"/>
      <c r="I75" s="178"/>
      <c r="J75" s="178"/>
      <c r="K75" s="178"/>
      <c r="L75" s="178"/>
      <c r="M75" s="30"/>
      <c r="O75" s="16"/>
      <c r="P75" s="1"/>
      <c r="Q75" s="1"/>
      <c r="R75" s="16"/>
      <c r="S75" s="16"/>
    </row>
    <row r="76" spans="1:21" ht="19.5" thickBot="1" x14ac:dyDescent="0.35">
      <c r="A76" s="115" t="s">
        <v>102</v>
      </c>
      <c r="B76" s="116"/>
      <c r="C76" s="116"/>
      <c r="D76" s="116"/>
      <c r="E76" s="116"/>
      <c r="F76" s="116"/>
      <c r="G76" s="116"/>
      <c r="H76" s="117"/>
      <c r="I76" s="233" t="s">
        <v>46</v>
      </c>
      <c r="J76" s="234"/>
      <c r="K76" s="234"/>
      <c r="L76" s="234"/>
      <c r="M76" s="211"/>
      <c r="O76" s="143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9.5" thickBot="1" x14ac:dyDescent="0.35">
      <c r="A77" s="124" t="s">
        <v>103</v>
      </c>
      <c r="B77" s="125" t="s">
        <v>48</v>
      </c>
      <c r="C77" s="125" t="s">
        <v>49</v>
      </c>
      <c r="D77" s="125" t="s">
        <v>50</v>
      </c>
      <c r="E77" s="125" t="s">
        <v>51</v>
      </c>
      <c r="F77" s="125" t="s">
        <v>52</v>
      </c>
      <c r="G77" s="125" t="s">
        <v>53</v>
      </c>
      <c r="H77" s="126" t="s">
        <v>54</v>
      </c>
      <c r="I77" s="183" t="s">
        <v>55</v>
      </c>
      <c r="J77" s="183" t="s">
        <v>51</v>
      </c>
      <c r="K77" s="183" t="s">
        <v>31</v>
      </c>
      <c r="L77" s="207" t="s">
        <v>49</v>
      </c>
      <c r="M77" s="207" t="s">
        <v>56</v>
      </c>
      <c r="O77" s="124" t="s">
        <v>57</v>
      </c>
      <c r="P77" s="124" t="s">
        <v>58</v>
      </c>
      <c r="Q77" s="124" t="s">
        <v>59</v>
      </c>
      <c r="R77" s="124" t="s">
        <v>54</v>
      </c>
      <c r="S77" s="124" t="s">
        <v>58</v>
      </c>
      <c r="T77" s="124" t="s">
        <v>59</v>
      </c>
      <c r="U77" s="141" t="s">
        <v>54</v>
      </c>
    </row>
    <row r="78" spans="1:21" ht="39.950000000000003" customHeight="1" x14ac:dyDescent="0.25">
      <c r="A78" s="132" t="s">
        <v>60</v>
      </c>
      <c r="B78" s="132" t="s">
        <v>61</v>
      </c>
      <c r="C78" s="132" t="s">
        <v>104</v>
      </c>
      <c r="D78" s="132" t="s">
        <v>63</v>
      </c>
      <c r="E78" s="132" t="s">
        <v>64</v>
      </c>
      <c r="F78" s="132" t="s">
        <v>65</v>
      </c>
      <c r="G78" s="132" t="s">
        <v>66</v>
      </c>
      <c r="H78" s="132" t="s">
        <v>67</v>
      </c>
      <c r="I78" s="184"/>
      <c r="J78" s="184"/>
      <c r="K78" s="208"/>
      <c r="L78" s="209"/>
      <c r="M78" s="210"/>
      <c r="N78" s="206"/>
      <c r="O78" s="140" t="s">
        <v>68</v>
      </c>
      <c r="P78" s="132" t="s">
        <v>69</v>
      </c>
      <c r="Q78" s="132" t="s">
        <v>64</v>
      </c>
      <c r="R78" s="132" t="s">
        <v>67</v>
      </c>
      <c r="S78" s="132" t="s">
        <v>70</v>
      </c>
      <c r="T78" s="132" t="s">
        <v>64</v>
      </c>
      <c r="U78" s="142" t="s">
        <v>67</v>
      </c>
    </row>
    <row r="79" spans="1:21" x14ac:dyDescent="0.25">
      <c r="A79" s="221" t="s">
        <v>105</v>
      </c>
      <c r="B79" s="120" t="s">
        <v>112</v>
      </c>
      <c r="C79" s="82"/>
      <c r="D79" s="95">
        <v>33.4</v>
      </c>
      <c r="E79" s="19" t="s">
        <v>111</v>
      </c>
      <c r="F79" s="19"/>
      <c r="G79" s="19"/>
      <c r="H79" s="96"/>
      <c r="I79" s="171"/>
      <c r="J79" s="173"/>
      <c r="K79" s="173"/>
      <c r="L79" s="222"/>
      <c r="M79" s="64"/>
      <c r="N79" s="206"/>
      <c r="O79" s="139" t="str">
        <f>IF(B79="","",B79)</f>
        <v>Food PP</v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25">
      <c r="A80" s="221" t="s">
        <v>105</v>
      </c>
      <c r="B80" s="1" t="s">
        <v>113</v>
      </c>
      <c r="C80" s="82"/>
      <c r="D80" s="227">
        <v>19.600000000000001</v>
      </c>
      <c r="E80" s="19" t="s">
        <v>111</v>
      </c>
      <c r="F80" s="19"/>
      <c r="G80" s="19"/>
      <c r="H80" s="96"/>
      <c r="I80" s="171"/>
      <c r="J80" s="173"/>
      <c r="K80" s="173"/>
      <c r="L80" s="222"/>
      <c r="M80" s="64"/>
      <c r="N80" s="206"/>
      <c r="O80" s="139" t="str">
        <f>IF(B84="","",B84)</f>
        <v>PP recycling residues</v>
      </c>
      <c r="P80" s="62"/>
      <c r="Q80" s="19" t="str">
        <f t="shared" ref="Q80:Q81" si="6">IF(P80&lt;&gt;0,Q$12,"")</f>
        <v/>
      </c>
      <c r="R80" s="41"/>
      <c r="S80" s="63"/>
      <c r="T80" s="19" t="str">
        <f t="shared" ref="T80:T81" si="7">IF(S80&lt;&gt;0,T$12,"")</f>
        <v/>
      </c>
      <c r="U80" s="64"/>
    </row>
    <row r="81" spans="1:21" x14ac:dyDescent="0.25">
      <c r="A81" s="221" t="s">
        <v>105</v>
      </c>
      <c r="B81" s="120" t="s">
        <v>133</v>
      </c>
      <c r="C81" s="87"/>
      <c r="D81" s="95">
        <v>15</v>
      </c>
      <c r="E81" s="19" t="s">
        <v>111</v>
      </c>
      <c r="F81" s="19"/>
      <c r="G81" s="19"/>
      <c r="H81" s="96"/>
      <c r="I81" s="171"/>
      <c r="J81" s="173"/>
      <c r="K81" s="173"/>
      <c r="L81" s="222"/>
      <c r="M81" s="64"/>
      <c r="N81" s="206"/>
      <c r="O81" s="139" t="str">
        <f t="shared" ref="O81" si="8">IF(B81="","",B81)</f>
        <v>Mixed Packaging PP</v>
      </c>
      <c r="P81" s="62"/>
      <c r="Q81" s="19" t="str">
        <f t="shared" si="6"/>
        <v/>
      </c>
      <c r="R81" s="41"/>
      <c r="S81" s="63"/>
      <c r="T81" s="19" t="str">
        <f t="shared" si="7"/>
        <v/>
      </c>
      <c r="U81" s="64"/>
    </row>
    <row r="82" spans="1:21" ht="15" customHeight="1" x14ac:dyDescent="0.25">
      <c r="A82" s="221" t="s">
        <v>105</v>
      </c>
      <c r="B82" s="120" t="s">
        <v>114</v>
      </c>
      <c r="C82" s="87"/>
      <c r="D82">
        <v>6.5</v>
      </c>
      <c r="E82" s="19" t="s">
        <v>111</v>
      </c>
      <c r="F82" s="19"/>
      <c r="G82" s="19"/>
      <c r="H82" s="13"/>
      <c r="I82" s="193"/>
      <c r="J82" s="173"/>
      <c r="K82" s="218"/>
      <c r="L82" s="222"/>
      <c r="M82" s="64"/>
      <c r="N82" s="206"/>
      <c r="O82" s="139" t="str">
        <f t="shared" ref="O82:O91" si="9">IF(B82="","",B82)</f>
        <v>Trays PP</v>
      </c>
      <c r="P82" s="62"/>
      <c r="Q82" s="19" t="str">
        <f t="shared" ref="Q82:Q91" si="10">IF(P82&lt;&gt;0,Q$12,"")</f>
        <v/>
      </c>
      <c r="R82" s="41"/>
      <c r="S82" s="63"/>
      <c r="T82" s="19" t="str">
        <f t="shared" ref="T82:T91" si="11">IF(S82&lt;&gt;0,T$12,"")</f>
        <v/>
      </c>
      <c r="U82" s="64"/>
    </row>
    <row r="83" spans="1:21" x14ac:dyDescent="0.25">
      <c r="A83" s="221" t="s">
        <v>106</v>
      </c>
      <c r="B83" s="85" t="s">
        <v>115</v>
      </c>
      <c r="C83" s="97"/>
      <c r="D83" s="98">
        <v>26.2</v>
      </c>
      <c r="E83" s="19" t="s">
        <v>111</v>
      </c>
      <c r="F83" s="19"/>
      <c r="G83" s="19"/>
      <c r="H83" s="100"/>
      <c r="I83" s="212"/>
      <c r="J83" s="213"/>
      <c r="K83" s="173"/>
      <c r="L83" s="222"/>
      <c r="M83" s="64"/>
      <c r="N83" s="206"/>
      <c r="O83" s="139" t="str">
        <f t="shared" si="9"/>
        <v>MaD PP</v>
      </c>
      <c r="P83" s="62"/>
      <c r="Q83" s="19" t="str">
        <f t="shared" si="10"/>
        <v/>
      </c>
      <c r="R83" s="41"/>
      <c r="S83" s="63"/>
      <c r="T83" s="19" t="str">
        <f t="shared" si="11"/>
        <v/>
      </c>
      <c r="U83" s="64"/>
    </row>
    <row r="84" spans="1:21" x14ac:dyDescent="0.25">
      <c r="A84" s="221" t="s">
        <v>106</v>
      </c>
      <c r="B84" s="120" t="s">
        <v>134</v>
      </c>
      <c r="C84" s="97"/>
      <c r="D84" s="95">
        <v>6.1</v>
      </c>
      <c r="E84" s="19" t="s">
        <v>111</v>
      </c>
      <c r="F84" s="19"/>
      <c r="G84" s="19"/>
      <c r="H84" s="96"/>
      <c r="I84" s="212"/>
      <c r="J84" s="213"/>
      <c r="K84" s="173"/>
      <c r="L84" s="222"/>
      <c r="M84" s="64"/>
      <c r="N84" s="206"/>
      <c r="O84" s="139" t="e">
        <f>IF(#REF!="","",#REF!)</f>
        <v>#REF!</v>
      </c>
      <c r="P84" s="62"/>
      <c r="Q84" s="19" t="str">
        <f t="shared" si="10"/>
        <v/>
      </c>
      <c r="R84" s="41"/>
      <c r="S84" s="63"/>
      <c r="T84" s="19" t="str">
        <f t="shared" si="11"/>
        <v/>
      </c>
      <c r="U84" s="64"/>
    </row>
    <row r="85" spans="1:21" x14ac:dyDescent="0.25">
      <c r="A85" s="221" t="s">
        <v>106</v>
      </c>
      <c r="B85" s="85"/>
      <c r="C85" s="97"/>
      <c r="D85" s="98"/>
      <c r="E85" s="99"/>
      <c r="F85" s="19"/>
      <c r="G85" s="19"/>
      <c r="H85" s="96"/>
      <c r="I85" s="212"/>
      <c r="J85" s="213"/>
      <c r="K85" s="173"/>
      <c r="L85" s="222"/>
      <c r="M85" s="64"/>
      <c r="N85" s="206"/>
      <c r="O85" s="139" t="str">
        <f t="shared" si="9"/>
        <v/>
      </c>
      <c r="P85" s="62"/>
      <c r="Q85" s="19" t="str">
        <f t="shared" si="10"/>
        <v/>
      </c>
      <c r="R85" s="41"/>
      <c r="S85" s="63"/>
      <c r="T85" s="19" t="str">
        <f t="shared" si="11"/>
        <v/>
      </c>
      <c r="U85" s="64"/>
    </row>
    <row r="86" spans="1:21" x14ac:dyDescent="0.25">
      <c r="A86" s="221" t="s">
        <v>107</v>
      </c>
      <c r="B86" s="85"/>
      <c r="C86" s="97"/>
      <c r="D86" s="98"/>
      <c r="E86" s="99"/>
      <c r="F86" s="19"/>
      <c r="G86" s="19"/>
      <c r="H86" s="96"/>
      <c r="I86" s="212"/>
      <c r="J86" s="213"/>
      <c r="K86" s="173"/>
      <c r="L86" s="222"/>
      <c r="M86" s="64"/>
      <c r="N86" s="206"/>
      <c r="O86" s="139" t="str">
        <f t="shared" si="9"/>
        <v/>
      </c>
      <c r="P86" s="62"/>
      <c r="Q86" s="19" t="str">
        <f t="shared" si="10"/>
        <v/>
      </c>
      <c r="R86" s="41"/>
      <c r="S86" s="63"/>
      <c r="T86" s="19" t="str">
        <f t="shared" si="11"/>
        <v/>
      </c>
      <c r="U86" s="64"/>
    </row>
    <row r="87" spans="1:21" x14ac:dyDescent="0.25">
      <c r="A87" s="221" t="s">
        <v>107</v>
      </c>
      <c r="B87" s="85"/>
      <c r="C87" s="97"/>
      <c r="D87" s="98"/>
      <c r="E87" s="99"/>
      <c r="F87" s="19"/>
      <c r="G87" s="19"/>
      <c r="H87" s="96"/>
      <c r="I87" s="212"/>
      <c r="J87" s="213"/>
      <c r="K87" s="173"/>
      <c r="L87" s="222"/>
      <c r="M87" s="64"/>
      <c r="N87" s="206"/>
      <c r="O87" s="139" t="str">
        <f t="shared" si="9"/>
        <v/>
      </c>
      <c r="P87" s="62"/>
      <c r="Q87" s="19" t="str">
        <f t="shared" si="10"/>
        <v/>
      </c>
      <c r="R87" s="41"/>
      <c r="S87" s="63"/>
      <c r="T87" s="19" t="str">
        <f t="shared" si="11"/>
        <v/>
      </c>
      <c r="U87" s="64"/>
    </row>
    <row r="88" spans="1:21" x14ac:dyDescent="0.25">
      <c r="A88" s="221" t="s">
        <v>107</v>
      </c>
      <c r="B88" s="85"/>
      <c r="C88" s="97"/>
      <c r="D88" s="98"/>
      <c r="E88" s="99"/>
      <c r="F88" s="19"/>
      <c r="G88" s="19"/>
      <c r="H88" s="96"/>
      <c r="I88" s="212"/>
      <c r="J88" s="213"/>
      <c r="K88" s="173"/>
      <c r="L88" s="222"/>
      <c r="M88" s="64"/>
      <c r="N88" s="206"/>
      <c r="O88" s="139" t="str">
        <f t="shared" si="9"/>
        <v/>
      </c>
      <c r="P88" s="62"/>
      <c r="Q88" s="19" t="str">
        <f t="shared" si="10"/>
        <v/>
      </c>
      <c r="R88" s="41"/>
      <c r="S88" s="63"/>
      <c r="T88" s="19" t="str">
        <f t="shared" si="11"/>
        <v/>
      </c>
      <c r="U88" s="64"/>
    </row>
    <row r="89" spans="1:21" x14ac:dyDescent="0.25">
      <c r="A89" s="221" t="s">
        <v>108</v>
      </c>
      <c r="B89" s="85"/>
      <c r="C89" s="97"/>
      <c r="D89" s="98"/>
      <c r="E89" s="99"/>
      <c r="F89" s="19"/>
      <c r="G89" s="19"/>
      <c r="H89" s="96"/>
      <c r="I89" s="212"/>
      <c r="J89" s="213"/>
      <c r="K89" s="173"/>
      <c r="L89" s="222"/>
      <c r="M89" s="64"/>
      <c r="N89" s="206"/>
      <c r="O89" s="139" t="str">
        <f t="shared" si="9"/>
        <v/>
      </c>
      <c r="P89" s="62"/>
      <c r="Q89" s="19" t="str">
        <f t="shared" si="10"/>
        <v/>
      </c>
      <c r="R89" s="41"/>
      <c r="S89" s="63"/>
      <c r="T89" s="19" t="str">
        <f t="shared" si="11"/>
        <v/>
      </c>
      <c r="U89" s="64"/>
    </row>
    <row r="90" spans="1:21" x14ac:dyDescent="0.25">
      <c r="A90" s="221" t="s">
        <v>108</v>
      </c>
      <c r="B90" s="85"/>
      <c r="C90" s="101"/>
      <c r="D90" s="136"/>
      <c r="E90" s="99"/>
      <c r="F90" s="137"/>
      <c r="G90" s="102"/>
      <c r="H90" s="96"/>
      <c r="I90" s="214"/>
      <c r="J90" s="213"/>
      <c r="K90" s="215"/>
      <c r="L90" s="223"/>
      <c r="M90" s="64"/>
      <c r="N90" s="206"/>
      <c r="O90" s="139" t="str">
        <f t="shared" si="9"/>
        <v/>
      </c>
      <c r="P90" s="62"/>
      <c r="Q90" s="19" t="str">
        <f t="shared" si="10"/>
        <v/>
      </c>
      <c r="R90" s="41"/>
      <c r="S90" s="63"/>
      <c r="T90" s="19" t="str">
        <f t="shared" si="11"/>
        <v/>
      </c>
      <c r="U90" s="64"/>
    </row>
    <row r="91" spans="1:21" x14ac:dyDescent="0.25">
      <c r="A91" s="221" t="s">
        <v>108</v>
      </c>
      <c r="B91" s="85"/>
      <c r="C91" s="101"/>
      <c r="D91" s="136"/>
      <c r="E91" s="99"/>
      <c r="F91" s="137"/>
      <c r="G91" s="102"/>
      <c r="H91" s="96"/>
      <c r="I91" s="214"/>
      <c r="J91" s="213"/>
      <c r="K91" s="215"/>
      <c r="L91" s="223"/>
      <c r="M91" s="64"/>
      <c r="N91" s="206"/>
      <c r="O91" s="139" t="str">
        <f t="shared" si="9"/>
        <v/>
      </c>
      <c r="P91" s="62"/>
      <c r="Q91" s="19" t="str">
        <f t="shared" si="10"/>
        <v/>
      </c>
      <c r="R91" s="41"/>
      <c r="S91" s="63"/>
      <c r="T91" s="19" t="str">
        <f t="shared" si="11"/>
        <v/>
      </c>
      <c r="U91" s="64"/>
    </row>
    <row r="92" spans="1:21" x14ac:dyDescent="0.25">
      <c r="M92" s="30"/>
    </row>
    <row r="93" spans="1:21" x14ac:dyDescent="0.25">
      <c r="M93" s="30"/>
    </row>
    <row r="102" spans="2:14" x14ac:dyDescent="0.25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25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25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25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25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25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25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25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25">
      <c r="E129" s="1"/>
      <c r="F129" s="1"/>
      <c r="G129" s="1"/>
      <c r="H129" s="1"/>
      <c r="J129" s="1"/>
      <c r="K129" s="1"/>
      <c r="L129" s="1"/>
    </row>
  </sheetData>
  <mergeCells count="3">
    <mergeCell ref="I76:L76"/>
    <mergeCell ref="B6:C6"/>
    <mergeCell ref="I12:M12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c40e6f4-6aff-4beb-8b8a-2a2294c2b839" xsi:nil="true"/>
    <lcf76f155ced4ddcb4097134ff3c332f xmlns="91cf6a65-7abb-478d-88cd-3f3506d5d4a7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C938A798977AF1478E22870F7FBAC487" ma:contentTypeVersion="11" ma:contentTypeDescription="Ein neues Dokument erstellen." ma:contentTypeScope="" ma:versionID="ba58fa2355b42f64127aa3a164f52d73">
  <xsd:schema xmlns:xsd="http://www.w3.org/2001/XMLSchema" xmlns:xs="http://www.w3.org/2001/XMLSchema" xmlns:p="http://schemas.microsoft.com/office/2006/metadata/properties" xmlns:ns2="91cf6a65-7abb-478d-88cd-3f3506d5d4a7" xmlns:ns3="0c40e6f4-6aff-4beb-8b8a-2a2294c2b839" targetNamespace="http://schemas.microsoft.com/office/2006/metadata/properties" ma:root="true" ma:fieldsID="1e9e20e3141d424ff8c53112cfada219" ns2:_="" ns3:_="">
    <xsd:import namespace="91cf6a65-7abb-478d-88cd-3f3506d5d4a7"/>
    <xsd:import namespace="0c40e6f4-6aff-4beb-8b8a-2a2294c2b83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f6a65-7abb-478d-88cd-3f3506d5d4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ildmarkierungen" ma:readOnly="false" ma:fieldId="{5cf76f15-5ced-4ddc-b409-7134ff3c332f}" ma:taxonomyMulti="true" ma:sspId="6eb20c4f-c5c2-492b-9954-d638c64bfe9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40e6f4-6aff-4beb-8b8a-2a2294c2b83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292bdf4-bf6a-4970-8091-c23eb11ad75b}" ma:internalName="TaxCatchAll" ma:showField="CatchAllData" ma:web="0c40e6f4-6aff-4beb-8b8a-2a2294c2b83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9D382CB-1D09-4BA9-ADCC-D1511AA686D9}">
  <ds:schemaRefs>
    <ds:schemaRef ds:uri="http://schemas.microsoft.com/office/2006/metadata/properties"/>
    <ds:schemaRef ds:uri="http://schemas.microsoft.com/office/infopath/2007/PartnerControls"/>
    <ds:schemaRef ds:uri="0c40e6f4-6aff-4beb-8b8a-2a2294c2b839"/>
    <ds:schemaRef ds:uri="91cf6a65-7abb-478d-88cd-3f3506d5d4a7"/>
  </ds:schemaRefs>
</ds:datastoreItem>
</file>

<file path=customXml/itemProps2.xml><?xml version="1.0" encoding="utf-8"?>
<ds:datastoreItem xmlns:ds="http://schemas.openxmlformats.org/officeDocument/2006/customXml" ds:itemID="{2D61E873-7DF4-422B-8748-1E3770314A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1cf6a65-7abb-478d-88cd-3f3506d5d4a7"/>
    <ds:schemaRef ds:uri="0c40e6f4-6aff-4beb-8b8a-2a2294c2b8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850FA3-DC62-43D3-BC5B-53CF3FECFA0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General data</vt:lpstr>
      <vt:lpstr>Process_collection</vt:lpstr>
      <vt:lpstr>Process_sorting_flow_1</vt:lpstr>
      <vt:lpstr>Process_sorting_flow_2_PP</vt:lpstr>
      <vt:lpstr>Process_recycling_PP</vt:lpstr>
    </vt:vector>
  </TitlesOfParts>
  <Manager/>
  <Company>Fraunhofer Gesellschaft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Dückert, Elisabeth</dc:creator>
  <cp:keywords/>
  <dc:description/>
  <cp:lastModifiedBy>Nabodita Anam Nova</cp:lastModifiedBy>
  <cp:revision/>
  <dcterms:created xsi:type="dcterms:W3CDTF">2016-08-18T14:22:56Z</dcterms:created>
  <dcterms:modified xsi:type="dcterms:W3CDTF">2025-02-04T10:46:46Z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0x010100C938A798977AF1478E22870F7FBAC487</vt:lpwstr>
  </property>
</Properties>
</file>